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3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/comment4.xml" ContentType="application/vnd.openxmlformats-officedocument.spreadsheetml.comments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70" tabRatio="600" firstSheet="50" activeTab="54" autoFilterDateGrouping="1"/>
  </bookViews>
  <sheets>
    <sheet xmlns:r="http://schemas.openxmlformats.org/officeDocument/2006/relationships" name="JESSIKA R. 01-01 Á 31-01" sheetId="1" state="visible" r:id="rId1"/>
    <sheet xmlns:r="http://schemas.openxmlformats.org/officeDocument/2006/relationships" name="JESSIKA Y. 01-01 Á 31-01" sheetId="2" state="visible" r:id="rId2"/>
    <sheet xmlns:r="http://schemas.openxmlformats.org/officeDocument/2006/relationships" name="ALBERTO_01-01 Á 31-01" sheetId="3" state="visible" r:id="rId3"/>
    <sheet xmlns:r="http://schemas.openxmlformats.org/officeDocument/2006/relationships" name="DAYANE_01-01 Á 31-01" sheetId="4" state="visible" r:id="rId4"/>
    <sheet xmlns:r="http://schemas.openxmlformats.org/officeDocument/2006/relationships" name="MATHEUS_01-01 Á 31-01" sheetId="5" state="visible" r:id="rId5"/>
    <sheet xmlns:r="http://schemas.openxmlformats.org/officeDocument/2006/relationships" name="LARISSA_01-01 Á 31-01" sheetId="6" state="visible" r:id="rId6"/>
    <sheet xmlns:r="http://schemas.openxmlformats.org/officeDocument/2006/relationships" name="ELAINE_01-01 Á 31-01" sheetId="7" state="visible" r:id="rId7"/>
    <sheet xmlns:r="http://schemas.openxmlformats.org/officeDocument/2006/relationships" name="MATHEUS 01-02 Á 28-02" sheetId="8" state="visible" r:id="rId8"/>
    <sheet xmlns:r="http://schemas.openxmlformats.org/officeDocument/2006/relationships" name="RENATA 01-02 Á 28-02" sheetId="9" state="visible" r:id="rId9"/>
    <sheet xmlns:r="http://schemas.openxmlformats.org/officeDocument/2006/relationships" name="LARISSA 01-02 Á 28-02" sheetId="10" state="visible" r:id="rId10"/>
    <sheet xmlns:r="http://schemas.openxmlformats.org/officeDocument/2006/relationships" name="DAYANE 01-02 Á 28-02" sheetId="11" state="visible" r:id="rId11"/>
    <sheet xmlns:r="http://schemas.openxmlformats.org/officeDocument/2006/relationships" name="ALBERTO 01-02 Á 28-02" sheetId="12" state="visible" r:id="rId12"/>
    <sheet xmlns:r="http://schemas.openxmlformats.org/officeDocument/2006/relationships" name="JESSIKA R 01-02 Á 28-02" sheetId="13" state="visible" r:id="rId13"/>
    <sheet xmlns:r="http://schemas.openxmlformats.org/officeDocument/2006/relationships" name="JESSIKA Y 01-02 Á 28-02" sheetId="14" state="visible" r:id="rId14"/>
    <sheet xmlns:r="http://schemas.openxmlformats.org/officeDocument/2006/relationships" name="JESSIKA R 01-03 Á 31-03" sheetId="15" state="visible" r:id="rId15"/>
    <sheet xmlns:r="http://schemas.openxmlformats.org/officeDocument/2006/relationships" name="JESSIKA Y 01-03 Á 31-03" sheetId="16" state="visible" r:id="rId16"/>
    <sheet xmlns:r="http://schemas.openxmlformats.org/officeDocument/2006/relationships" name="ALBERTO 01-03 Á 31-03" sheetId="17" state="visible" r:id="rId17"/>
    <sheet xmlns:r="http://schemas.openxmlformats.org/officeDocument/2006/relationships" name="DAYANE 01-03 Á 31-03" sheetId="18" state="visible" r:id="rId18"/>
    <sheet xmlns:r="http://schemas.openxmlformats.org/officeDocument/2006/relationships" name="MATHEUS 01-03 Á 31-03" sheetId="19" state="visible" r:id="rId19"/>
    <sheet xmlns:r="http://schemas.openxmlformats.org/officeDocument/2006/relationships" name="LARISSA 01-03 Á 31-03" sheetId="20" state="visible" r:id="rId20"/>
    <sheet xmlns:r="http://schemas.openxmlformats.org/officeDocument/2006/relationships" name="RENATA 01-03 Á  31-03" sheetId="21" state="visible" r:id="rId21"/>
    <sheet xmlns:r="http://schemas.openxmlformats.org/officeDocument/2006/relationships" name="MATHEUS 01-04 Á 30-04" sheetId="22" state="visible" r:id="rId22"/>
    <sheet xmlns:r="http://schemas.openxmlformats.org/officeDocument/2006/relationships" name="DAYANE 01-04 Á 30-04" sheetId="23" state="visible" r:id="rId23"/>
    <sheet xmlns:r="http://schemas.openxmlformats.org/officeDocument/2006/relationships" name="LARISSA 01-04 Á 30-04" sheetId="24" state="visible" r:id="rId24"/>
    <sheet xmlns:r="http://schemas.openxmlformats.org/officeDocument/2006/relationships" name="RENATA 01-04 Á 30-04" sheetId="25" state="visible" r:id="rId25"/>
    <sheet xmlns:r="http://schemas.openxmlformats.org/officeDocument/2006/relationships" name="ALBERTO 01-04 Á 30-04" sheetId="26" state="visible" r:id="rId26"/>
    <sheet xmlns:r="http://schemas.openxmlformats.org/officeDocument/2006/relationships" name="JESSIKA Y 01-04 Á 30-04" sheetId="27" state="visible" r:id="rId27"/>
    <sheet xmlns:r="http://schemas.openxmlformats.org/officeDocument/2006/relationships" name="JESSIKA R 01-04 Á 30-04" sheetId="28" state="visible" r:id="rId28"/>
    <sheet xmlns:r="http://schemas.openxmlformats.org/officeDocument/2006/relationships" name="MODELO" sheetId="29" state="visible" r:id="rId29"/>
    <sheet xmlns:r="http://schemas.openxmlformats.org/officeDocument/2006/relationships" name="JESSIKA R - MAIO" sheetId="30" state="visible" r:id="rId30"/>
    <sheet xmlns:r="http://schemas.openxmlformats.org/officeDocument/2006/relationships" name="JESSIKA Y - MAIO" sheetId="31" state="visible" r:id="rId31"/>
    <sheet xmlns:r="http://schemas.openxmlformats.org/officeDocument/2006/relationships" name="ALBERTO - MAIO" sheetId="32" state="visible" r:id="rId32"/>
    <sheet xmlns:r="http://schemas.openxmlformats.org/officeDocument/2006/relationships" name="RENATA - MAIO" sheetId="33" state="visible" r:id="rId33"/>
    <sheet xmlns:r="http://schemas.openxmlformats.org/officeDocument/2006/relationships" name="SAMITRY - MAIO" sheetId="34" state="visible" r:id="rId34"/>
    <sheet xmlns:r="http://schemas.openxmlformats.org/officeDocument/2006/relationships" name="LARRISA - MAIO" sheetId="35" state="visible" r:id="rId35"/>
    <sheet xmlns:r="http://schemas.openxmlformats.org/officeDocument/2006/relationships" name="MATHEUS - MAIO" sheetId="36" state="visible" r:id="rId36"/>
    <sheet xmlns:r="http://schemas.openxmlformats.org/officeDocument/2006/relationships" name="ALBERTO - JUNHO" sheetId="37" state="visible" r:id="rId37"/>
    <sheet xmlns:r="http://schemas.openxmlformats.org/officeDocument/2006/relationships" name="LARISSA - JUNHO" sheetId="38" state="visible" r:id="rId38"/>
    <sheet xmlns:r="http://schemas.openxmlformats.org/officeDocument/2006/relationships" name="RENATA - JUNHO" sheetId="39" state="visible" r:id="rId39"/>
    <sheet xmlns:r="http://schemas.openxmlformats.org/officeDocument/2006/relationships" name="JESSIKA Y - JUNHO" sheetId="40" state="visible" r:id="rId40"/>
    <sheet xmlns:r="http://schemas.openxmlformats.org/officeDocument/2006/relationships" name="JESSIKA R - JUNHO" sheetId="41" state="visible" r:id="rId41"/>
    <sheet xmlns:r="http://schemas.openxmlformats.org/officeDocument/2006/relationships" name="ALBERTO - JULHO" sheetId="42" state="visible" r:id="rId42"/>
    <sheet xmlns:r="http://schemas.openxmlformats.org/officeDocument/2006/relationships" name="RENATA - JULHO" sheetId="43" state="visible" r:id="rId43"/>
    <sheet xmlns:r="http://schemas.openxmlformats.org/officeDocument/2006/relationships" name="LARISSA - JULHO" sheetId="44" state="visible" r:id="rId44"/>
    <sheet xmlns:r="http://schemas.openxmlformats.org/officeDocument/2006/relationships" name="JESSIKA Y - JULHO" sheetId="45" state="visible" r:id="rId45"/>
    <sheet xmlns:r="http://schemas.openxmlformats.org/officeDocument/2006/relationships" name="ALBERTO - AGOSTO" sheetId="46" state="visible" r:id="rId46"/>
    <sheet xmlns:r="http://schemas.openxmlformats.org/officeDocument/2006/relationships" name="RENATA - AGOSTO" sheetId="47" state="visible" r:id="rId47"/>
    <sheet xmlns:r="http://schemas.openxmlformats.org/officeDocument/2006/relationships" name="LARISSA - AGOSTO" sheetId="48" state="visible" r:id="rId48"/>
    <sheet xmlns:r="http://schemas.openxmlformats.org/officeDocument/2006/relationships" name="JESSIKA - AGOSTO" sheetId="49" state="visible" r:id="rId49"/>
    <sheet xmlns:r="http://schemas.openxmlformats.org/officeDocument/2006/relationships" name="ANDRE - AGOSTO" sheetId="50" state="visible" r:id="rId50"/>
    <sheet xmlns:r="http://schemas.openxmlformats.org/officeDocument/2006/relationships" name="ALBERTO - SETEMBRO" sheetId="51" state="visible" r:id="rId51"/>
    <sheet xmlns:r="http://schemas.openxmlformats.org/officeDocument/2006/relationships" name="LARISSA - SETEMBRO" sheetId="52" state="visible" r:id="rId52"/>
    <sheet xmlns:r="http://schemas.openxmlformats.org/officeDocument/2006/relationships" name="RENATA - SETEMBRO" sheetId="53" state="visible" r:id="rId53"/>
    <sheet xmlns:r="http://schemas.openxmlformats.org/officeDocument/2006/relationships" name="JESSIKA - SETEMBRO" sheetId="54" state="visible" r:id="rId54"/>
    <sheet xmlns:r="http://schemas.openxmlformats.org/officeDocument/2006/relationships" name="ANDRE - SETEMBRO" sheetId="55" state="visible" r:id="rId55"/>
    <sheet xmlns:r="http://schemas.openxmlformats.org/officeDocument/2006/relationships" name="LÉO ANDRADE - SETEMBRO" sheetId="56" state="visible" r:id="rId56"/>
    <sheet xmlns:r="http://schemas.openxmlformats.org/officeDocument/2006/relationships" name="SAMITRY - OUTUBRO" sheetId="57" state="visible" r:id="rId57"/>
  </sheets>
  <definedNames/>
  <calcPr calcId="145621" fullCalcOnLoad="1"/>
</workbook>
</file>

<file path=xl/styles.xml><?xml version="1.0" encoding="utf-8"?>
<styleSheet xmlns="http://schemas.openxmlformats.org/spreadsheetml/2006/main">
  <numFmts count="3">
    <numFmt numFmtId="164" formatCode="[h]:mm:ss;@"/>
    <numFmt numFmtId="165" formatCode="h:mm;@"/>
    <numFmt numFmtId="166" formatCode="[$-F400]h:mm:ss\ AM/PM"/>
  </numFmts>
  <fonts count="11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rgb="FF00B0F0"/>
      <sz val="11"/>
      <scheme val="minor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color theme="4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charset val="1"/>
      <color indexed="81"/>
      <sz val="9"/>
    </font>
  </fonts>
  <fills count="1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5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2" pivotButton="0" quotePrefix="0" xfId="0"/>
    <xf numFmtId="0" fontId="0" fillId="2" borderId="2" applyAlignment="1" pivotButton="0" quotePrefix="0" xfId="0">
      <alignment horizontal="center"/>
    </xf>
    <xf numFmtId="0" fontId="0" fillId="4" borderId="2" pivotButton="0" quotePrefix="0" xfId="0"/>
    <xf numFmtId="164" fontId="0" fillId="4" borderId="2" pivotButton="0" quotePrefix="0" xfId="0"/>
    <xf numFmtId="165" fontId="0" fillId="4" borderId="2" pivotButton="0" quotePrefix="0" xfId="0"/>
    <xf numFmtId="0" fontId="0" fillId="3" borderId="0" pivotButton="0" quotePrefix="0" xfId="0"/>
    <xf numFmtId="164" fontId="2" fillId="3" borderId="0" pivotButton="0" quotePrefix="0" xfId="0"/>
    <xf numFmtId="0" fontId="0" fillId="0" borderId="2" pivotButton="0" quotePrefix="0" xfId="0"/>
    <xf numFmtId="164" fontId="0" fillId="0" borderId="2" pivotButton="0" quotePrefix="0" xfId="0"/>
    <xf numFmtId="164" fontId="0" fillId="5" borderId="2" pivotButton="0" quotePrefix="0" xfId="0"/>
    <xf numFmtId="0" fontId="0" fillId="6" borderId="0" pivotButton="0" quotePrefix="0" xfId="0"/>
    <xf numFmtId="164" fontId="0" fillId="3" borderId="0" pivotButton="0" quotePrefix="0" xfId="0"/>
    <xf numFmtId="0" fontId="0" fillId="7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0" borderId="0" pivotButton="0" quotePrefix="0" xfId="0"/>
    <xf numFmtId="0" fontId="0" fillId="9" borderId="3" pivotButton="0" quotePrefix="0" xfId="0"/>
    <xf numFmtId="0" fontId="0" fillId="0" borderId="4" pivotButton="0" quotePrefix="0" xfId="0"/>
    <xf numFmtId="0" fontId="0" fillId="8" borderId="5" applyAlignment="1" pivotButton="0" quotePrefix="0" xfId="0">
      <alignment horizontal="center" vertical="center"/>
    </xf>
    <xf numFmtId="164" fontId="1" fillId="0" borderId="0" pivotButton="0" quotePrefix="0" xfId="0"/>
    <xf numFmtId="164" fontId="4" fillId="0" borderId="0" pivotButton="0" quotePrefix="0" xfId="0"/>
    <xf numFmtId="166" fontId="3" fillId="7" borderId="6" applyAlignment="1" pivotButton="0" quotePrefix="0" xfId="0">
      <alignment horizontal="center"/>
    </xf>
    <xf numFmtId="0" fontId="0" fillId="0" borderId="0" pivotButton="0" quotePrefix="0" xfId="0"/>
    <xf numFmtId="166" fontId="0" fillId="6" borderId="7" applyAlignment="1" pivotButton="0" quotePrefix="0" xfId="0">
      <alignment horizontal="center" vertical="center"/>
    </xf>
    <xf numFmtId="166" fontId="0" fillId="7" borderId="6" pivotButton="0" quotePrefix="0" xfId="0"/>
    <xf numFmtId="0" fontId="0" fillId="0" borderId="7" applyAlignment="1" pivotButton="0" quotePrefix="0" xfId="0">
      <alignment horizontal="center" vertical="center"/>
    </xf>
    <xf numFmtId="46" fontId="0" fillId="0" borderId="8" pivotButton="0" quotePrefix="0" xfId="0"/>
    <xf numFmtId="20" fontId="0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center" vertical="center"/>
    </xf>
    <xf numFmtId="164" fontId="1" fillId="10" borderId="9" applyAlignment="1" pivotButton="0" quotePrefix="0" xfId="0">
      <alignment horizontal="center"/>
    </xf>
    <xf numFmtId="0" fontId="0" fillId="0" borderId="10" pivotButton="0" quotePrefix="0" xfId="0"/>
    <xf numFmtId="20" fontId="0" fillId="6" borderId="11" applyAlignment="1" pivotButton="0" quotePrefix="0" xfId="0">
      <alignment horizontal="center" vertical="center"/>
    </xf>
    <xf numFmtId="166" fontId="0" fillId="0" borderId="0" pivotButton="0" quotePrefix="0" xfId="0"/>
    <xf numFmtId="0" fontId="0" fillId="11" borderId="0" pivotButton="0" quotePrefix="0" xfId="0"/>
    <xf numFmtId="20" fontId="7" fillId="0" borderId="12" applyAlignment="1" pivotButton="0" quotePrefix="0" xfId="0">
      <alignment horizontal="center"/>
    </xf>
    <xf numFmtId="164" fontId="7" fillId="0" borderId="9" applyAlignment="1" pivotButton="0" quotePrefix="0" xfId="0">
      <alignment horizontal="center"/>
    </xf>
    <xf numFmtId="166" fontId="1" fillId="0" borderId="7" applyAlignment="1" pivotButton="0" quotePrefix="0" xfId="0">
      <alignment horizontal="center" vertical="center"/>
    </xf>
    <xf numFmtId="20" fontId="1" fillId="0" borderId="12" applyAlignment="1" pivotButton="0" quotePrefix="0" xfId="0">
      <alignment horizontal="center"/>
    </xf>
    <xf numFmtId="20" fontId="1" fillId="0" borderId="11" applyAlignment="1" pivotButton="0" quotePrefix="0" xfId="0">
      <alignment horizontal="center" vertical="center"/>
    </xf>
    <xf numFmtId="0" fontId="1" fillId="0" borderId="0" pivotButton="0" quotePrefix="0" xfId="0"/>
    <xf numFmtId="20" fontId="4" fillId="0" borderId="12" applyAlignment="1" pivotButton="0" quotePrefix="0" xfId="0">
      <alignment horizontal="center"/>
    </xf>
    <xf numFmtId="165" fontId="0" fillId="4" borderId="13" pivotButton="0" quotePrefix="0" xfId="0"/>
    <xf numFmtId="164" fontId="0" fillId="0" borderId="13" pivotButton="0" quotePrefix="0" xfId="0"/>
    <xf numFmtId="0" fontId="0" fillId="0" borderId="0" pivotButton="0" quotePrefix="0" xfId="0"/>
    <xf numFmtId="0" fontId="0" fillId="12" borderId="0" pivotButton="0" quotePrefix="0" xfId="0"/>
    <xf numFmtId="0" fontId="0" fillId="12" borderId="0" pivotButton="0" quotePrefix="0" xfId="0"/>
    <xf numFmtId="0" fontId="0" fillId="10" borderId="0" pivotButton="0" quotePrefix="0" xfId="0"/>
    <xf numFmtId="0" fontId="0" fillId="13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20" fontId="0" fillId="0" borderId="0" pivotButton="0" quotePrefix="0" xfId="0"/>
    <xf numFmtId="46" fontId="7" fillId="0" borderId="12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164" fontId="3" fillId="7" borderId="6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164" fontId="1" fillId="0" borderId="7" applyAlignment="1" pivotButton="0" quotePrefix="0" xfId="0">
      <alignment horizontal="center" vertical="center"/>
    </xf>
    <xf numFmtId="164" fontId="1" fillId="0" borderId="1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dxfs count="310"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A7E7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5050"/>
      </font>
    </dxf>
    <dxf>
      <font>
        <b val="1"/>
        <color rgb="FF002060"/>
      </font>
      <fill>
        <patternFill>
          <bgColor auto="1"/>
        </patternFill>
      </fill>
    </dxf>
    <dxf>
      <font>
        <color rgb="FF00206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A7E7E"/>
        </patternFill>
      </fill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comments/comment1.xml><?xml version="1.0" encoding="utf-8"?>
<comments xmlns="http://schemas.openxmlformats.org/spreadsheetml/2006/main">
  <authors>
    <author>Faturamento03</author>
  </authors>
  <commentList>
    <comment ref="C16" authorId="0" shapeId="0">
      <text>
        <t xml:space="preserve">Faturamento03:
SUP. PONTO FELIZ </t>
      </text>
    </comment>
    <comment ref="D16" authorId="0" shapeId="0">
      <text>
        <t>Faturamento03:
SUPER NAPONENCE</t>
      </text>
    </comment>
    <comment ref="C17" authorId="0" shapeId="0">
      <text>
        <t>Faturamento03:
ATHENEU</t>
      </text>
    </comment>
    <comment ref="D17" authorId="0" shapeId="0">
      <text>
        <t>Faturamento03:
LARANJEIRAS PREMIUM</t>
      </text>
    </comment>
  </commentList>
</comments>
</file>

<file path=xl/comments/comment2.xml><?xml version="1.0" encoding="utf-8"?>
<comments xmlns="http://schemas.openxmlformats.org/spreadsheetml/2006/main">
  <authors>
    <author>Faturamento03</author>
  </authors>
  <commentList>
    <comment ref="C5" authorId="0" shapeId="0">
      <text>
        <t xml:space="preserve">Faturamento03:
ATESTADO 
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I15" authorId="0" shapeId="0">
      <text>
        <t>Admin:
Entrega em Bela Vista
Sem horario de Almoço</t>
      </text>
    </comment>
  </commentList>
</comments>
</file>

<file path=xl/comments/comment4.xml><?xml version="1.0" encoding="utf-8"?>
<comments xmlns="http://schemas.openxmlformats.org/spreadsheetml/2006/main">
  <authors>
    <author>Admin</author>
  </authors>
  <commentList>
    <comment ref="I17" authorId="0" shapeId="0">
      <text>
        <t xml:space="preserve">Velório Tio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E23" workbookViewId="0">
      <selection activeCell="L34" sqref="L34:O39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35" t="inlineStr">
        <is>
          <t>FERIADO</t>
        </is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 t="n">
        <v>0.03333333333333333</v>
      </c>
      <c r="H5" s="10">
        <f>IF((F5-$K$3)&gt;$K$4,ABS(F5-$K$3),0)</f>
        <v/>
      </c>
      <c r="I5" s="12" t="inlineStr">
        <is>
          <t>FALTA</t>
        </is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0.31875</v>
      </c>
      <c r="C8" s="10" t="n">
        <v>0.5416666666666666</v>
      </c>
      <c r="D8" s="10" t="n">
        <v>0.6041666666666666</v>
      </c>
      <c r="E8" s="11" t="n">
        <v>0.7784722222222222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0.5416666666666666</v>
      </c>
      <c r="D9" s="10" t="n">
        <v>0.6041666666666666</v>
      </c>
      <c r="E9" s="11" t="n">
        <v>0.7458333333333333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35" t="inlineStr">
        <is>
          <t>ATESTADO</t>
        </is>
      </c>
    </row>
    <row r="11">
      <c r="A11" s="9" t="n">
        <v>8</v>
      </c>
      <c r="B11" s="10" t="n">
        <v>0.3277777777777778</v>
      </c>
      <c r="C11" s="10" t="n">
        <v>0.5416666666666666</v>
      </c>
      <c r="D11" s="10" t="n">
        <v>0.6041666666666666</v>
      </c>
      <c r="E11" s="11" t="n">
        <v>0.8006944444444445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0.3118055555555556</v>
      </c>
      <c r="C12" s="10" t="n">
        <v>0.5416666666666666</v>
      </c>
      <c r="D12" s="10" t="n">
        <v>0.6041666666666666</v>
      </c>
      <c r="E12" s="11" t="n">
        <v>0.7395833333333334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0.5451388888888888</v>
      </c>
      <c r="D15" s="10" t="n">
        <v>0.6097222222222223</v>
      </c>
      <c r="E15" s="11" t="n">
        <v>0.7430555555555556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0.3305555555555555</v>
      </c>
      <c r="C16" s="10" t="n">
        <v>0.5652777777777778</v>
      </c>
      <c r="D16" s="10" t="n">
        <v>0.6284722222222222</v>
      </c>
      <c r="E16" s="11" t="n">
        <v>0.7506944444444444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0.3145833333333333</v>
      </c>
      <c r="C17" s="10" t="n">
        <v>0.5444444444444444</v>
      </c>
      <c r="D17" s="10" t="n">
        <v>0.6090277777777777</v>
      </c>
      <c r="E17" s="11" t="n">
        <v>0.7131944444444445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0.3118055555555556</v>
      </c>
      <c r="C18" s="10" t="n">
        <v>0.5083333333333333</v>
      </c>
      <c r="D18" s="10" t="n">
        <v>0.5736111111111111</v>
      </c>
      <c r="E18" s="11" t="n">
        <v>0.7430555555555556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0.3138888888888889</v>
      </c>
      <c r="C19" s="10" t="n">
        <v>0.5680555555555555</v>
      </c>
      <c r="D19" s="10" t="n">
        <v>0.63125</v>
      </c>
      <c r="E19" s="11" t="n">
        <v>0.7395833333333334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 t="n">
        <v>0</v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 t="n">
        <v>0.03333333333333333</v>
      </c>
      <c r="H22" s="10">
        <f>IF((F22-$K$3)&gt;$K$4,ABS(F22-$K$3),0)</f>
        <v/>
      </c>
      <c r="I22" s="12" t="inlineStr">
        <is>
          <t>FALTA</t>
        </is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 t="n">
        <v>0.03333333333333333</v>
      </c>
      <c r="H23" s="10">
        <f>IF((F23-$K$3)&gt;$K$4,ABS(F23-$K$3),0)</f>
        <v/>
      </c>
      <c r="I23" s="12" t="inlineStr">
        <is>
          <t>FALTA</t>
        </is>
      </c>
    </row>
    <row r="24">
      <c r="A24" s="9" t="n">
        <v>21</v>
      </c>
      <c r="B24" s="10" t="n">
        <v>0.3125</v>
      </c>
      <c r="C24" s="10" t="n">
        <v>0.5847222222222223</v>
      </c>
      <c r="D24" s="10" t="n">
        <v>0.6486111111111111</v>
      </c>
      <c r="E24" s="11" t="n">
        <v>0.74375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0.3180555555555555</v>
      </c>
      <c r="C25" s="10" t="n">
        <v>0.5541666666666667</v>
      </c>
      <c r="D25" s="10" t="n">
        <v>0.61875</v>
      </c>
      <c r="E25" s="11" t="n">
        <v>0.7458333333333333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0.5854166666666667</v>
      </c>
      <c r="D26" s="10" t="n">
        <v>0.6493055555555556</v>
      </c>
      <c r="E26" s="11" t="n">
        <v>0.7486111111111111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0.6006944444444444</v>
      </c>
      <c r="D29" s="10" t="n">
        <v>0.6638888888888889</v>
      </c>
      <c r="E29" s="11" t="n">
        <v>0.7451388888888889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0.5472222222222223</v>
      </c>
      <c r="D30" s="10" t="n">
        <v>0.6104166666666667</v>
      </c>
      <c r="E30" s="11" t="n">
        <v>0.7208333333333333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0.3402777777777778</v>
      </c>
      <c r="C31" s="10" t="n">
        <v>0.5673611111111111</v>
      </c>
      <c r="D31" s="10" t="n">
        <v>0.6319444444444444</v>
      </c>
      <c r="E31" s="11" t="n">
        <v>0.7409722222222223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0.3131944444444444</v>
      </c>
      <c r="C32" s="10" t="n">
        <v>0.5652777777777778</v>
      </c>
      <c r="D32" s="10" t="n">
        <v>0.6347222222222222</v>
      </c>
      <c r="E32" s="11" t="n">
        <v>0.7444444444444445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0.5583333333333333</v>
      </c>
      <c r="D33" s="10" t="n">
        <v>0.5930555555555556</v>
      </c>
      <c r="E33" s="11" t="n">
        <v>0.7423611111111111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0.1625</v>
      </c>
      <c r="N35" s="25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I39" sqref="I39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</v>
      </c>
      <c r="H10" s="10">
        <f>IF((F10-$K$3)&gt;$K$4,ABS(F10-$K$3),0)</f>
        <v/>
      </c>
    </row>
    <row r="11">
      <c r="A11" s="9" t="n">
        <v>8</v>
      </c>
      <c r="B11" s="10" t="n">
        <v>0.3131944444444444</v>
      </c>
      <c r="C11" s="10" t="n">
        <v>0.5416666666666666</v>
      </c>
      <c r="D11" s="10" t="n">
        <v>0.6041666666666666</v>
      </c>
      <c r="E11" s="11" t="n">
        <v>0.7513888888888889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0.3194444444444444</v>
      </c>
      <c r="C12" s="10" t="n">
        <v>0.5416666666666666</v>
      </c>
      <c r="D12" s="10" t="n">
        <v>0.6041666666666666</v>
      </c>
      <c r="E12" s="11" t="n">
        <v>0.7243055555555555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0.5493055555555556</v>
      </c>
      <c r="D15" s="10" t="n">
        <v>0.6138888888888889</v>
      </c>
      <c r="E15" s="11" t="n">
        <v>0.7430555555555556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0.3131944444444444</v>
      </c>
      <c r="C16" s="10" t="n">
        <v>0.5659722222222222</v>
      </c>
      <c r="D16" s="10" t="n">
        <v>0.6291666666666667</v>
      </c>
      <c r="E16" s="11" t="n">
        <v>0.75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0.3270833333333333</v>
      </c>
      <c r="C17" s="10" t="n">
        <v>0.5423611111111111</v>
      </c>
      <c r="D17" s="10" t="n">
        <v>0.6076388888888888</v>
      </c>
      <c r="E17" s="11" t="n">
        <v>0.7479166666666667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0.3104166666666667</v>
      </c>
      <c r="C18" s="10" t="n">
        <v>0.5090277777777777</v>
      </c>
      <c r="D18" s="10" t="n">
        <v>0.5736111111111111</v>
      </c>
      <c r="E18" s="11" t="n">
        <v>0.7451388888888889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0.3166666666666667</v>
      </c>
      <c r="C19" s="10" t="n">
        <v>0.5590277777777778</v>
      </c>
      <c r="D19" s="10" t="n">
        <v>0.6256944444444444</v>
      </c>
      <c r="E19" s="11" t="n">
        <v>0.7493055555555556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0.5534722222222223</v>
      </c>
      <c r="D22" s="10" t="n">
        <v>0.6125</v>
      </c>
      <c r="E22" s="11" t="n">
        <v>0.7465277777777778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0.3145833333333333</v>
      </c>
      <c r="C23" s="10" t="n">
        <v>0.5527777777777778</v>
      </c>
      <c r="D23" s="10" t="n">
        <v>0.6118055555555556</v>
      </c>
      <c r="E23" s="11" t="n">
        <v>0.7618055555555555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>
        <v>0.54375</v>
      </c>
      <c r="D24" s="10" t="n">
        <v>0.6131944444444445</v>
      </c>
      <c r="E24" s="11" t="n">
        <v>0.7548611111111111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0.3138888888888889</v>
      </c>
      <c r="C25" s="10" t="n">
        <v>0.5847222222222223</v>
      </c>
      <c r="D25" s="10" t="n">
        <v>0.6479166666666667</v>
      </c>
      <c r="E25" s="11" t="n">
        <v>0.7465277777777778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0.3138888888888889</v>
      </c>
      <c r="C26" s="10" t="n">
        <v>0.5888888888888889</v>
      </c>
      <c r="D26" s="10" t="n">
        <v>0.6493055555555556</v>
      </c>
      <c r="E26" s="11" t="n">
        <v>0.7597222222222222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0.5548611111111111</v>
      </c>
      <c r="D29" s="10" t="n">
        <v>0.61875</v>
      </c>
      <c r="E29" s="11" t="n">
        <v>0.75625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0.3104166666666667</v>
      </c>
      <c r="C30" s="10" t="n">
        <v>0.5604166666666667</v>
      </c>
      <c r="D30" s="10" t="n">
        <v>0.6222222222222222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0.3152777777777778</v>
      </c>
      <c r="C31" s="10" t="n">
        <v>0.5638888888888889</v>
      </c>
      <c r="D31" s="10" t="n">
        <v>0.6305555555555555</v>
      </c>
      <c r="E31" s="11" t="n">
        <v>0.7583333333333333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0.3152777777777778</v>
      </c>
      <c r="C32" s="10" t="n">
        <v>0.5638888888888889</v>
      </c>
      <c r="D32" s="10" t="n">
        <v>0.6305555555555555</v>
      </c>
      <c r="E32" s="11" t="n">
        <v>0.7583333333333333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0.3145833333333333</v>
      </c>
      <c r="C33" s="10" t="n">
        <v>0.5465277777777777</v>
      </c>
      <c r="D33" s="10" t="n">
        <v>0.6104166666666667</v>
      </c>
      <c r="E33" s="11" t="n">
        <v>0.7569444444444444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0.1625</v>
      </c>
      <c r="N35" s="25">
        <f>G35</f>
        <v/>
      </c>
    </row>
    <row r="36" ht="15.75" customHeight="1" s="45" thickBot="1">
      <c r="G36" s="77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1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H38" sqref="H3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42578125" customWidth="1" style="45" min="8" max="8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35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0.2854166666666667</v>
      </c>
      <c r="C5" s="10" t="n">
        <v>0.4875</v>
      </c>
      <c r="D5" s="10" t="n">
        <v>0.5416666666666666</v>
      </c>
      <c r="E5" s="11" t="n">
        <v>0.7479166666666667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0.2798611111111111</v>
      </c>
      <c r="C8" s="10" t="n">
        <v>0.4888888888888889</v>
      </c>
      <c r="D8" s="10" t="n">
        <v>0.5416666666666666</v>
      </c>
      <c r="E8" s="11" t="n">
        <v>0.7548611111111111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0.2798611111111111</v>
      </c>
      <c r="C9" s="10" t="n">
        <v>0.5048611111111111</v>
      </c>
      <c r="D9" s="10" t="n">
        <v>0.5604166666666667</v>
      </c>
      <c r="E9" s="11" t="n">
        <v>0.7555555555555555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0.2770833333333333</v>
      </c>
      <c r="C10" s="10" t="n"/>
      <c r="D10" s="10" t="n"/>
      <c r="E10" s="11" t="n">
        <v>0.7680555555555556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0.2770833333333333</v>
      </c>
      <c r="C11" s="10" t="n"/>
      <c r="D11" s="10" t="n"/>
      <c r="E11" s="11" t="n">
        <v>0.7583333333333333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0.2854166666666667</v>
      </c>
      <c r="C12" s="10" t="n">
        <v>0.4895833333333333</v>
      </c>
      <c r="D12" s="10" t="n">
        <v>0.5423611111111111</v>
      </c>
      <c r="E12" s="11" t="n">
        <v>0.7479166666666667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0.4881944444444444</v>
      </c>
      <c r="D15" s="10" t="n">
        <v>0.5416666666666666</v>
      </c>
      <c r="E15" s="11" t="n">
        <v>0.7458333333333333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0.3118055555555556</v>
      </c>
      <c r="C16" s="10" t="n">
        <v>0.4875</v>
      </c>
      <c r="D16" s="10" t="n">
        <v>0.5416666666666666</v>
      </c>
      <c r="E16" s="11" t="n">
        <v>0.7486111111111111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0.3125</v>
      </c>
      <c r="C17" s="10" t="n">
        <v>0.4861111111111111</v>
      </c>
      <c r="D17" s="10" t="n">
        <v>0.5416666666666666</v>
      </c>
      <c r="E17" s="11" t="n">
        <v>0.7527777777777778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0.4868055555555555</v>
      </c>
      <c r="D18" s="10" t="n">
        <v>0.5416666666666666</v>
      </c>
      <c r="E18" s="11" t="n">
        <v>0.7520833333333333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0.4895833333333333</v>
      </c>
      <c r="D19" s="10" t="n">
        <v>0.5416666666666666</v>
      </c>
      <c r="E19" s="11" t="n">
        <v>0.7527777777777778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0.4868055555555555</v>
      </c>
      <c r="D22" s="10" t="n">
        <v>0.5416666666666666</v>
      </c>
      <c r="E22" s="11" t="n">
        <v>0.7458333333333333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0.4875</v>
      </c>
      <c r="D23" s="10" t="n">
        <v>0.5416666666666666</v>
      </c>
      <c r="E23" s="11" t="n">
        <v>0.7472222222222222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0.3118055555555556</v>
      </c>
      <c r="C24" s="10" t="n">
        <v>0.4881944444444444</v>
      </c>
      <c r="D24" s="10" t="n">
        <v>0.5416666666666666</v>
      </c>
      <c r="E24" s="11" t="n">
        <v>0.7458333333333333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0.3125</v>
      </c>
      <c r="C25" s="10" t="n">
        <v>0.4868055555555555</v>
      </c>
      <c r="D25" s="10" t="n">
        <v>0.5416666666666666</v>
      </c>
      <c r="E25" s="11" t="n">
        <v>0.7576388888888889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0.4909722222222222</v>
      </c>
      <c r="D26" s="10" t="n">
        <v>0.5423611111111111</v>
      </c>
      <c r="E26" s="11" t="n">
        <v>0.7506944444444444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0.4888888888888889</v>
      </c>
      <c r="D29" s="10" t="n">
        <v>0.5416666666666666</v>
      </c>
      <c r="E29" s="11" t="n">
        <v>0.7458333333333333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0.4902777777777778</v>
      </c>
      <c r="D30" s="10" t="n">
        <v>0.5416666666666666</v>
      </c>
      <c r="E30" s="11" t="n">
        <v>0.7458333333333333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0.3125</v>
      </c>
      <c r="C31" s="10" t="n">
        <v>0.4881944444444444</v>
      </c>
      <c r="D31" s="10" t="n">
        <v>0.5416666666666666</v>
      </c>
      <c r="E31" s="11" t="n">
        <v>0.7458333333333333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0.5076388888888889</v>
      </c>
      <c r="D32" s="10" t="n">
        <v>0.5631944444444444</v>
      </c>
      <c r="E32" s="11" t="n">
        <v>0.7548611111111111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>
      <c r="A33" s="9" t="n">
        <v>30</v>
      </c>
      <c r="B33" s="10" t="n">
        <v>0.3125</v>
      </c>
      <c r="C33" s="10" t="n">
        <v>0.4875</v>
      </c>
      <c r="D33" s="10" t="n">
        <v>0.5416666666666666</v>
      </c>
      <c r="E33" s="11" t="n">
        <v>0.7444444444444445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</row>
    <row r="35">
      <c r="G35" s="21">
        <f>SUM(G4:G34)</f>
        <v/>
      </c>
      <c r="H35" s="22">
        <f>SUM(H4:H34)</f>
        <v/>
      </c>
      <c r="J35" s="34" t="n"/>
    </row>
    <row r="36">
      <c r="G36" s="75">
        <f>H35-G35</f>
        <v/>
      </c>
      <c r="J36" s="34" t="n"/>
    </row>
    <row r="37">
      <c r="J37" s="34" t="n"/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J39" sqref="J39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35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0.31875</v>
      </c>
      <c r="C5" s="10" t="n">
        <v>0.4868055555555555</v>
      </c>
      <c r="D5" s="10" t="n">
        <v>0.5430555555555555</v>
      </c>
      <c r="E5" s="11" t="n">
        <v>0.74375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0.3118055555555556</v>
      </c>
      <c r="C8" s="10" t="n">
        <v>0.5083333333333333</v>
      </c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0.3145833333333333</v>
      </c>
      <c r="C9" s="10" t="n">
        <v>0.4909722222222222</v>
      </c>
      <c r="D9" s="10" t="n">
        <v>0.50625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0.3125</v>
      </c>
      <c r="C10" s="10" t="n">
        <v>0.4944444444444445</v>
      </c>
      <c r="D10" s="10" t="n">
        <v>0.5152777777777777</v>
      </c>
      <c r="E10" s="11" t="n">
        <v>0.7486111111111111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0.3131944444444444</v>
      </c>
      <c r="C11" s="10" t="n">
        <v>0.49375</v>
      </c>
      <c r="D11" s="10" t="n">
        <v>0.5444444444444444</v>
      </c>
      <c r="E11" s="11" t="n">
        <v>0.7479166666666667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0.3131944444444444</v>
      </c>
      <c r="C12" s="10" t="n">
        <v>0.4944444444444445</v>
      </c>
      <c r="D12" s="10" t="n">
        <v>0.5458333333333333</v>
      </c>
      <c r="E12" s="11" t="n">
        <v>0.7416666666666667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0.3180555555555555</v>
      </c>
      <c r="C15" s="10" t="n">
        <v>0.4888888888888889</v>
      </c>
      <c r="D15" s="10" t="n">
        <v>0.5430555555555555</v>
      </c>
      <c r="E15" s="11" t="n">
        <v>0.7444444444444445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0.3208333333333334</v>
      </c>
      <c r="C16" s="10" t="n">
        <v>0.4895833333333333</v>
      </c>
      <c r="D16" s="10" t="n">
        <v>0.5423611111111111</v>
      </c>
      <c r="E16" s="11" t="n">
        <v>0.7472222222222222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0.3145833333333333</v>
      </c>
      <c r="C17" s="10" t="n">
        <v>0.4909722222222222</v>
      </c>
      <c r="D17" s="10" t="n">
        <v>0.5138888888888888</v>
      </c>
      <c r="E17" s="11" t="n">
        <v>0.7486111111111111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0.3131944444444444</v>
      </c>
      <c r="C18" s="10" t="n"/>
      <c r="D18" s="10" t="n"/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0.3131944444444444</v>
      </c>
      <c r="C19" s="10" t="n">
        <v>0.4888888888888889</v>
      </c>
      <c r="D19" s="10" t="n">
        <v>0.5006944444444444</v>
      </c>
      <c r="E19" s="11" t="n">
        <v>0.7465277777777778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0.3270833333333333</v>
      </c>
      <c r="C22" s="10" t="n">
        <v>0.5076388888888889</v>
      </c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0.3152777777777778</v>
      </c>
      <c r="C23" s="10" t="n">
        <v>0.4930555555555556</v>
      </c>
      <c r="D23" s="10" t="n">
        <v>0.5076388888888889</v>
      </c>
      <c r="E23" s="11" t="n">
        <v>0.74375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/>
      <c r="D24" s="10" t="n"/>
      <c r="E24" s="11" t="n">
        <v>0.7423611111111111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0.3131944444444444</v>
      </c>
      <c r="C25" s="10" t="n">
        <v>0.4881944444444444</v>
      </c>
      <c r="D25" s="10" t="n">
        <v>0.5048611111111111</v>
      </c>
      <c r="E25" s="11" t="n">
        <v>0.7423611111111111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0.4895833333333333</v>
      </c>
      <c r="D26" s="10" t="n">
        <v>0.5020833333333333</v>
      </c>
      <c r="E26" s="11" t="n">
        <v>0.7458333333333333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0.3173611111111111</v>
      </c>
      <c r="C29" s="10" t="n">
        <v>0.4881944444444444</v>
      </c>
      <c r="D29" s="10" t="n">
        <v>0.5423611111111111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0.4909722222222222</v>
      </c>
      <c r="D30" s="10" t="n">
        <v>0.5423611111111111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0.3125</v>
      </c>
      <c r="C31" s="10" t="n">
        <v>0.4881944444444444</v>
      </c>
      <c r="D31" s="10" t="n">
        <v>0.5423611111111111</v>
      </c>
      <c r="E31" s="11" t="n">
        <v>0.7416666666666667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0.34375</v>
      </c>
      <c r="C32" s="10" t="n">
        <v>0.4861111111111111</v>
      </c>
      <c r="D32" s="10" t="n">
        <v>0.5416666666666666</v>
      </c>
      <c r="E32" s="11" t="n">
        <v>0.7423611111111111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0.3131944444444444</v>
      </c>
      <c r="C33" s="10" t="n">
        <v>0.4923611111111111</v>
      </c>
      <c r="D33" s="10" t="n">
        <v>0.5208333333333334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7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42">
        <f>L39-N35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5" workbookViewId="0">
      <selection activeCell="J18" sqref="J1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35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0.3159722222222222</v>
      </c>
      <c r="C5" s="10" t="n">
        <v>0.4861111111111111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0.3263888888888889</v>
      </c>
      <c r="C8" s="10" t="n"/>
      <c r="D8" s="10" t="n"/>
      <c r="E8" s="11" t="n">
        <v>0.7430555555555556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0.3041666666666666</v>
      </c>
      <c r="C9" s="10" t="n"/>
      <c r="D9" s="10" t="n"/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0.3222222222222222</v>
      </c>
      <c r="C10" s="10" t="n"/>
      <c r="D10" s="10" t="n"/>
      <c r="E10" s="11" t="n">
        <v>0.7423611111111111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0.3166666666666667</v>
      </c>
      <c r="C11" s="10" t="n"/>
      <c r="D11" s="10" t="n"/>
      <c r="E11" s="11" t="n">
        <v>0.7423611111111111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0.03333333333333333</v>
      </c>
      <c r="H12" s="10">
        <f>IF((F12-$K$3)&gt;$K$4,ABS(F12-$K$3),0)</f>
        <v/>
      </c>
      <c r="I12" s="12" t="inlineStr">
        <is>
          <t>FALTA</t>
        </is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0.3145833333333333</v>
      </c>
      <c r="C14" s="10" t="n">
        <v>0.4888888888888889</v>
      </c>
      <c r="D14" s="10" t="n">
        <v>0.5416666666666666</v>
      </c>
      <c r="E14" s="11" t="n">
        <v>0.7423611111111111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0.3208333333333334</v>
      </c>
      <c r="C15" s="10" t="n">
        <v>0.4861111111111111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0.3263888888888889</v>
      </c>
      <c r="C16" s="10" t="n">
        <v>0.4861111111111111</v>
      </c>
      <c r="D16" s="10" t="n">
        <v>0.5416666666666666</v>
      </c>
      <c r="E16" s="11" t="n">
        <v>0.7423611111111111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0.3263888888888889</v>
      </c>
      <c r="C17" s="10" t="n">
        <v>0.4861111111111111</v>
      </c>
      <c r="D17" s="10" t="n">
        <v>0.5416666666666666</v>
      </c>
      <c r="E17" s="11" t="n">
        <v>0.7423611111111111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0.3138888888888889</v>
      </c>
      <c r="C18" s="10" t="n">
        <v>0.4861111111111111</v>
      </c>
      <c r="D18" s="10" t="n">
        <v>0.5416666666666666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0.4791666666666667</v>
      </c>
      <c r="D19" s="10" t="n">
        <v>0.5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0.3159722222222222</v>
      </c>
      <c r="C22" s="10" t="n">
        <v>0.4861111111111111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0.3152777777777778</v>
      </c>
      <c r="C23" s="10" t="n">
        <v>0.4861111111111111</v>
      </c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0.3354166666666666</v>
      </c>
      <c r="C24" s="10" t="n">
        <v>0.4902777777777778</v>
      </c>
      <c r="D24" s="10" t="n">
        <v>0.5416666666666666</v>
      </c>
      <c r="E24" s="11" t="n">
        <v>0.7013888888888888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0.3256944444444445</v>
      </c>
      <c r="C25" s="10" t="n">
        <v>0.4861111111111111</v>
      </c>
      <c r="D25" s="10" t="n">
        <v>0.5416666666666666</v>
      </c>
      <c r="E25" s="11" t="n">
        <v>0.7423611111111111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0.3222222222222222</v>
      </c>
      <c r="C26" s="10" t="n">
        <v>0.4868055555555555</v>
      </c>
      <c r="D26" s="10" t="n">
        <v>0.5416666666666666</v>
      </c>
      <c r="E26" s="11" t="n">
        <v>0.7458333333333333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0.3319444444444444</v>
      </c>
      <c r="C29" s="10" t="n">
        <v>0.4861111111111111</v>
      </c>
      <c r="D29" s="10" t="n">
        <v>0.5423611111111111</v>
      </c>
      <c r="E29" s="11" t="n">
        <v>0.7423611111111111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0.4208333333333333</v>
      </c>
      <c r="C30" s="10" t="n"/>
      <c r="D30" s="10" t="n"/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0.3263888888888889</v>
      </c>
      <c r="C31" s="10" t="n"/>
      <c r="D31" s="10" t="n"/>
      <c r="E31" s="11" t="n">
        <v>0.7416666666666667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0.5076388888888889</v>
      </c>
      <c r="D32" s="10" t="n">
        <v>0.5631944444444444</v>
      </c>
      <c r="E32" s="11" t="n">
        <v>0.7416666666666667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0.3243055555555556</v>
      </c>
      <c r="C33" s="10" t="n">
        <v>0.4861111111111111</v>
      </c>
      <c r="D33" s="10" t="n">
        <v>0.5416666666666666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H35-G35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8" workbookViewId="0">
      <selection activeCell="I42" sqref="I42"/>
    </sheetView>
  </sheetViews>
  <sheetFormatPr baseColWidth="8" defaultRowHeight="15" outlineLevelCol="0"/>
  <cols>
    <col width="11.140625" bestFit="1" customWidth="1" style="45" min="3" max="3"/>
    <col width="10.140625" bestFit="1" customWidth="1" style="45" min="4" max="4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35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 t="n">
        <v>0.3666666666666666</v>
      </c>
      <c r="H5" s="10">
        <f>IF((F5-$K$3)&gt;$K$4,ABS(F5-$K$3),0)</f>
        <v/>
      </c>
      <c r="I5" s="12" t="inlineStr">
        <is>
          <t xml:space="preserve">FALTA </t>
        </is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0.2958333333333333</v>
      </c>
      <c r="C8" s="10" t="n"/>
      <c r="D8" s="10" t="n"/>
      <c r="E8" s="11" t="n">
        <v>0.7430555555555556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0.2916666666666667</v>
      </c>
      <c r="C9" s="10" t="n"/>
      <c r="D9" s="10" t="n"/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0.3125</v>
      </c>
      <c r="C10" s="10" t="n"/>
      <c r="D10" s="10" t="n"/>
      <c r="E10" s="11" t="n">
        <v>0.7423611111111111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0.4881944444444444</v>
      </c>
      <c r="D11" s="10" t="n">
        <v>0.5416666666666666</v>
      </c>
      <c r="E11" s="11" t="n">
        <v>0.7416666666666667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0.4861111111111111</v>
      </c>
      <c r="D16" s="10" t="n">
        <v>0.4993055555555556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0.3125</v>
      </c>
      <c r="C17" s="10" t="n">
        <v>0.4861111111111111</v>
      </c>
      <c r="D17" s="10" t="n">
        <v>0.4944444444444445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/>
      <c r="D18" s="10" t="n"/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0.4861111111111111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0.4868055555555555</v>
      </c>
      <c r="D22" s="10" t="n">
        <v>0.4923611111111111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0.3131944444444444</v>
      </c>
      <c r="C23" s="10" t="n">
        <v>0.4861111111111111</v>
      </c>
      <c r="D23" s="10" t="n">
        <v>0.5416666666666666</v>
      </c>
      <c r="E23" s="11" t="n">
        <v>0.7423611111111111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>
        <v>0.4868055555555555</v>
      </c>
      <c r="D24" s="10" t="n">
        <v>0.5416666666666666</v>
      </c>
      <c r="E24" s="11" t="n">
        <v>0.7423611111111111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0.3125</v>
      </c>
      <c r="C25" s="10" t="n">
        <v>0.4868055555555555</v>
      </c>
      <c r="D25" s="10" t="n">
        <v>0.5416666666666666</v>
      </c>
      <c r="E25" s="11" t="n">
        <v>0.7416666666666667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0.4881944444444444</v>
      </c>
      <c r="D26" s="10" t="n">
        <v>0.5416666666666666</v>
      </c>
      <c r="E26" s="11" t="n">
        <v>0.6590277777777778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0.4875</v>
      </c>
      <c r="D29" s="10" t="n">
        <v>0.4965277777777778</v>
      </c>
      <c r="E29" s="11" t="n">
        <v>0.7423611111111111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0.4875</v>
      </c>
      <c r="D30" s="10" t="n">
        <v>0.4951388888888889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0.3125</v>
      </c>
      <c r="C31" s="10" t="n">
        <v>0.4881944444444444</v>
      </c>
      <c r="D31" s="10" t="n">
        <v>0.5416666666666666</v>
      </c>
      <c r="E31" s="11" t="n">
        <v>0.7416666666666667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0.4868055555555555</v>
      </c>
      <c r="D32" s="10" t="n">
        <v>0.5416666666666666</v>
      </c>
      <c r="E32" s="11" t="n">
        <v>0.7423611111111111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0.4861111111111111</v>
      </c>
      <c r="D33" s="10" t="n">
        <v>0.5416666666666666</v>
      </c>
      <c r="E33" s="11" t="n">
        <v>0.74375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H35-G35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I28" sqref="I2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35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0.2986111111111111</v>
      </c>
      <c r="C5" s="10" t="n">
        <v>0.4861111111111111</v>
      </c>
      <c r="D5" s="10" t="n">
        <v>0.5416666666666666</v>
      </c>
      <c r="E5" s="11" t="n">
        <v>0.6034722222222222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0.4875</v>
      </c>
      <c r="D8" s="10" t="n">
        <v>0.49375</v>
      </c>
      <c r="E8" s="11" t="n">
        <v>0.7493055555555556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/>
      <c r="D9" s="10" t="n"/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0.3027777777777778</v>
      </c>
      <c r="C10" s="10" t="n">
        <v>0.4868055555555555</v>
      </c>
      <c r="D10" s="10" t="n">
        <v>0.4979166666666667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0.4875</v>
      </c>
      <c r="D11" s="10" t="n">
        <v>0.5416666666666666</v>
      </c>
      <c r="E11" s="11" t="n">
        <v>0.7416666666666667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0.3131944444444444</v>
      </c>
      <c r="C12" s="10" t="n">
        <v>0.4868055555555555</v>
      </c>
      <c r="D12" s="10" t="n">
        <v>0.4979166666666667</v>
      </c>
      <c r="E12" s="11" t="n">
        <v>0.5861111111111111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41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0.3152777777777778</v>
      </c>
      <c r="C16" s="10" t="n">
        <v>0.4861111111111111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0.3125</v>
      </c>
      <c r="C17" s="10" t="n">
        <v>0.4868055555555555</v>
      </c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0.4861111111111111</v>
      </c>
      <c r="D18" s="10" t="n">
        <v>0.5416666666666666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0.4868055555555555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12" t="inlineStr">
        <is>
          <t>FALTA</t>
        </is>
      </c>
    </row>
    <row r="23">
      <c r="A23" s="9" t="n">
        <v>20</v>
      </c>
      <c r="B23" s="10" t="n">
        <v>0.3125</v>
      </c>
      <c r="C23" s="10" t="n">
        <v>0.4861111111111111</v>
      </c>
      <c r="D23" s="10" t="n">
        <v>0.5423611111111111</v>
      </c>
      <c r="E23" s="11" t="n">
        <v>0.7430555555555556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>
        <v>0.4868055555555555</v>
      </c>
      <c r="D24" s="10" t="n">
        <v>0.5416666666666666</v>
      </c>
      <c r="E24" s="11" t="n">
        <v>0.7416666666666667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0.3256944444444445</v>
      </c>
      <c r="C25" s="10" t="n">
        <v>0.4868055555555555</v>
      </c>
      <c r="D25" s="10" t="n">
        <v>0.5416666666666666</v>
      </c>
      <c r="E25" s="11" t="n">
        <v>0.5923611111111111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G35-H35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7" workbookViewId="0">
      <selection activeCell="A1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0.5479166666666667</v>
      </c>
      <c r="C5" s="10" t="n"/>
      <c r="D5" s="10" t="n"/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0.3201388888888889</v>
      </c>
      <c r="C6" s="10" t="n">
        <v>0.4861111111111111</v>
      </c>
      <c r="D6" s="10" t="n">
        <v>0.5416666666666666</v>
      </c>
      <c r="E6" s="11" t="n">
        <v>0.7423611111111111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0.3277777777777778</v>
      </c>
      <c r="C7" s="10" t="n">
        <v>0.4875</v>
      </c>
      <c r="D7" s="10" t="n">
        <v>0.5416666666666666</v>
      </c>
      <c r="E7" s="11" t="n">
        <v>0.7416666666666667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0.3159722222222222</v>
      </c>
      <c r="C8" s="10" t="n">
        <v>0.5277777777777778</v>
      </c>
      <c r="D8" s="10" t="n">
        <v>0.5902777777777778</v>
      </c>
      <c r="E8" s="11" t="n">
        <v>0.74375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0.3229166666666667</v>
      </c>
      <c r="C9" s="10" t="n">
        <v>0.4868055555555555</v>
      </c>
      <c r="D9" s="10" t="n">
        <v>0.5416666666666666</v>
      </c>
      <c r="E9" s="11" t="n">
        <v>0.7423611111111111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0.3166666666666667</v>
      </c>
      <c r="C13" s="10" t="n">
        <v>0.4861111111111111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0.5138888888888888</v>
      </c>
      <c r="D14" s="10" t="n">
        <v>0.5555555555555556</v>
      </c>
      <c r="E14" s="11" t="n">
        <v>0.7423611111111111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0.3131944444444444</v>
      </c>
      <c r="C15" s="10" t="n">
        <v>0.4875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0.3131944444444444</v>
      </c>
      <c r="C16" s="10" t="n">
        <v>0.4909722222222222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  <c r="I19" s="35" t="inlineStr">
        <is>
          <t>FERIADO</t>
        </is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  <c r="I20" s="35" t="inlineStr">
        <is>
          <t>FERIADO</t>
        </is>
      </c>
    </row>
    <row r="21">
      <c r="A21" s="9" t="n">
        <v>18</v>
      </c>
      <c r="B21" s="10" t="n">
        <v>0.3569444444444445</v>
      </c>
      <c r="C21" s="10" t="n">
        <v>0.4930555555555556</v>
      </c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35" t="inlineStr">
        <is>
          <t xml:space="preserve">PASSOU MAL </t>
        </is>
      </c>
    </row>
    <row r="22">
      <c r="A22" s="9" t="n">
        <v>19</v>
      </c>
      <c r="B22" s="10" t="n">
        <v>0.3180555555555555</v>
      </c>
      <c r="C22" s="10" t="n"/>
      <c r="D22" s="10" t="n"/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/>
      <c r="D23" s="10" t="n"/>
      <c r="E23" s="11" t="n">
        <v>0.7451388888888889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0.3256944444444445</v>
      </c>
      <c r="C26" s="10" t="n"/>
      <c r="D26" s="10" t="n"/>
      <c r="E26" s="11" t="n">
        <v>0.7430555555555556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0.3152777777777778</v>
      </c>
      <c r="C27" s="10" t="n">
        <v>0.4930555555555556</v>
      </c>
      <c r="D27" s="10" t="n">
        <v>0.5</v>
      </c>
      <c r="E27" s="11" t="n">
        <v>0.7423611111111111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0.3159722222222222</v>
      </c>
      <c r="C28" s="10" t="n">
        <v>0.4861111111111111</v>
      </c>
      <c r="D28" s="10" t="n">
        <v>0.4951388888888889</v>
      </c>
      <c r="E28" s="11" t="n">
        <v>0.7423611111111111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0.3159722222222222</v>
      </c>
      <c r="C29" s="10" t="n"/>
      <c r="D29" s="10" t="n"/>
      <c r="E29" s="11" t="n">
        <v>0.7430555555555556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/>
      <c r="D30" s="10" t="n"/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0.02777777777777778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N35-L39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J36" sqref="J3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0.4875</v>
      </c>
      <c r="D5" s="10" t="n">
        <v>0.5423611111111111</v>
      </c>
      <c r="E5" s="11" t="n">
        <v>0.7423611111111111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0.4868055555555555</v>
      </c>
      <c r="D6" s="10" t="n">
        <v>0.5416666666666666</v>
      </c>
      <c r="E6" s="11" t="n">
        <v>0.7416666666666667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0.3131944444444444</v>
      </c>
      <c r="C7" s="10" t="n">
        <v>0.4868055555555555</v>
      </c>
      <c r="D7" s="10" t="n">
        <v>0.5416666666666666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0.3131944444444444</v>
      </c>
      <c r="C8" s="10" t="n">
        <v>0.4875</v>
      </c>
      <c r="D8" s="10" t="n">
        <v>0.5416666666666666</v>
      </c>
      <c r="E8" s="11" t="n">
        <v>0.74375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0.4875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0.4875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0.4875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0.4875</v>
      </c>
      <c r="D14" s="10" t="n">
        <v>0.5416666666666666</v>
      </c>
      <c r="E14" s="11" t="n">
        <v>0.7423611111111111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0.3131944444444444</v>
      </c>
      <c r="C15" s="10" t="n">
        <v>0.4875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0.4881944444444444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  <c r="I19" s="35" t="inlineStr">
        <is>
          <t>FERIADO</t>
        </is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  <c r="I20" s="35" t="inlineStr">
        <is>
          <t>FERIADO</t>
        </is>
      </c>
    </row>
    <row r="21">
      <c r="A21" s="9" t="n">
        <v>18</v>
      </c>
      <c r="B21" s="10" t="n">
        <v>0.3131944444444444</v>
      </c>
      <c r="C21" s="10" t="n">
        <v>0.4881944444444444</v>
      </c>
      <c r="D21" s="10" t="n">
        <v>0.5416666666666666</v>
      </c>
      <c r="E21" s="11" t="n">
        <v>0.7423611111111111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0.4875</v>
      </c>
      <c r="D22" s="10" t="n">
        <v>0.5416666666666666</v>
      </c>
      <c r="E22" s="11" t="n">
        <v>0.7430555555555556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0.4875</v>
      </c>
      <c r="D23" s="10" t="n">
        <v>0.4972222222222222</v>
      </c>
      <c r="E23" s="11" t="n">
        <v>0.7430555555555556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0.3138888888888889</v>
      </c>
      <c r="C26" s="10" t="n">
        <v>0.4868055555555555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0.3152777777777778</v>
      </c>
      <c r="C27" s="10" t="n">
        <v>0.4861111111111111</v>
      </c>
      <c r="D27" s="10" t="n">
        <v>0.5236111111111111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0.3138888888888889</v>
      </c>
      <c r="C28" s="10" t="n">
        <v>0.4861111111111111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0.3131944444444444</v>
      </c>
      <c r="C29" s="10" t="n">
        <v>0.4868055555555555</v>
      </c>
      <c r="D29" s="10" t="n">
        <v>0.5416666666666666</v>
      </c>
      <c r="E29" s="11" t="n">
        <v>0.74375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0.4868055555555555</v>
      </c>
      <c r="D30" s="10" t="n">
        <v>0.5416666666666666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N35-L39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5" workbookViewId="0">
      <selection activeCell="I25" sqref="I25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0.4868055555555555</v>
      </c>
      <c r="D5" s="10" t="n">
        <v>0.5416666666666666</v>
      </c>
      <c r="E5" s="11" t="n">
        <v>0.7423611111111111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0.4868055555555555</v>
      </c>
      <c r="D6" s="10" t="n">
        <v>0.5416666666666666</v>
      </c>
      <c r="E6" s="11" t="n">
        <v>0.7416666666666667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0.4868055555555555</v>
      </c>
      <c r="D7" s="10" t="n">
        <v>0.5416666666666666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0.4875</v>
      </c>
      <c r="D8" s="10" t="n">
        <v>0.5416666666666666</v>
      </c>
      <c r="E8" s="11" t="n">
        <v>0.7423611111111111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0.4868055555555555</v>
      </c>
      <c r="D9" s="10" t="n">
        <v>0.5416666666666666</v>
      </c>
      <c r="E9" s="11" t="n">
        <v>0.7423611111111111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0.4868055555555555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0.4875</v>
      </c>
      <c r="D14" s="10" t="n">
        <v>0.5416666666666666</v>
      </c>
      <c r="E14" s="11" t="n">
        <v>0.7423611111111111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0.4875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0.4881944444444444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  <c r="I19" s="35" t="inlineStr">
        <is>
          <t>FERIADO</t>
        </is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  <c r="I20" s="35" t="inlineStr">
        <is>
          <t>FERIADO</t>
        </is>
      </c>
    </row>
    <row r="21">
      <c r="A21" s="9" t="n">
        <v>18</v>
      </c>
      <c r="B21" s="10" t="n">
        <v>0.3131944444444444</v>
      </c>
      <c r="C21" s="10" t="n">
        <v>0.4881944444444444</v>
      </c>
      <c r="D21" s="10" t="n">
        <v>0.5416666666666666</v>
      </c>
      <c r="E21" s="11" t="n">
        <v>0.7423611111111111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0.4875</v>
      </c>
      <c r="D22" s="10" t="n">
        <v>0.5416666666666666</v>
      </c>
      <c r="E22" s="11" t="n">
        <v>0.7430555555555556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0.4875</v>
      </c>
      <c r="D23" s="10" t="n">
        <v>0.4965277777777778</v>
      </c>
      <c r="E23" s="11" t="n">
        <v>0.7430555555555556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0.3138888888888889</v>
      </c>
      <c r="C26" s="10" t="n">
        <v>0.4861111111111111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0.3159722222222222</v>
      </c>
      <c r="C27" s="10" t="n">
        <v>0.4881944444444444</v>
      </c>
      <c r="D27" s="10" t="n">
        <v>0.5229166666666667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0.3138888888888889</v>
      </c>
      <c r="C28" s="10" t="n">
        <v>0.4861111111111111</v>
      </c>
      <c r="D28" s="10" t="n">
        <v>0.5416666666666666</v>
      </c>
      <c r="E28" s="11" t="n">
        <v>0.7423611111111111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0.3131944444444444</v>
      </c>
      <c r="C29" s="10" t="n">
        <v>0.4868055555555555</v>
      </c>
      <c r="D29" s="10" t="n">
        <v>0.5416666666666666</v>
      </c>
      <c r="E29" s="11" t="n">
        <v>0.7444444444444445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0.4881944444444444</v>
      </c>
      <c r="D30" s="10" t="n">
        <v>0.5416666666666666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N35-L39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5" workbookViewId="0">
      <selection activeCell="F18" sqref="F1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0.4868055555555555</v>
      </c>
      <c r="D5" s="10" t="n">
        <v>0.5416666666666666</v>
      </c>
      <c r="E5" s="11" t="n">
        <v>0.7423611111111111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0.3131944444444444</v>
      </c>
      <c r="C6" s="10" t="n">
        <v>0.4895833333333333</v>
      </c>
      <c r="D6" s="10" t="n">
        <v>0.5430555555555555</v>
      </c>
      <c r="E6" s="11" t="n">
        <v>0.7423611111111111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0.3131944444444444</v>
      </c>
      <c r="C7" s="10" t="n">
        <v>0.4909722222222222</v>
      </c>
      <c r="D7" s="10" t="n">
        <v>0.5444444444444444</v>
      </c>
      <c r="E7" s="11" t="n">
        <v>0.7465277777777778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0.4909722222222222</v>
      </c>
      <c r="D8" s="10" t="n">
        <v>0.5451388888888888</v>
      </c>
      <c r="E8" s="11" t="n">
        <v>0.7430555555555556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0.4881944444444444</v>
      </c>
      <c r="D9" s="10" t="n">
        <v>0.5430555555555555</v>
      </c>
      <c r="E9" s="11" t="n">
        <v>0.7444444444444445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0.03333333333333333</v>
      </c>
      <c r="H12" s="10">
        <f>IF((F12-$K$3)&gt;$K$4,ABS(F12-$K$3),0)</f>
        <v/>
      </c>
      <c r="I12" s="35" t="inlineStr">
        <is>
          <t>ATESTADO</t>
        </is>
      </c>
    </row>
    <row r="13">
      <c r="A13" s="9" t="n">
        <v>10</v>
      </c>
      <c r="B13" s="10" t="n">
        <v>0.3125</v>
      </c>
      <c r="C13" s="10" t="n">
        <v>0.4861111111111111</v>
      </c>
      <c r="D13" s="10" t="n">
        <v>0.5416666666666666</v>
      </c>
      <c r="E13" s="11" t="n">
        <v>0.7430555555555556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0.4861111111111111</v>
      </c>
      <c r="D14" s="10" t="n">
        <v>0.5416666666666666</v>
      </c>
      <c r="E14" s="11" t="n">
        <v>0.7458333333333333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0.3131944444444444</v>
      </c>
      <c r="C15" s="10" t="n">
        <v>0.4923611111111111</v>
      </c>
      <c r="D15" s="10" t="n">
        <v>0.5458333333333333</v>
      </c>
      <c r="E15" s="11" t="n">
        <v>0.7423611111111111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0.4875</v>
      </c>
      <c r="D16" s="10" t="n">
        <v>0.5423611111111111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  <c r="I19" s="35" t="inlineStr">
        <is>
          <t>FERIADO</t>
        </is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  <c r="I20" s="35" t="inlineStr">
        <is>
          <t>FERIADO</t>
        </is>
      </c>
    </row>
    <row r="21">
      <c r="A21" s="9" t="n">
        <v>18</v>
      </c>
      <c r="B21" s="10" t="n">
        <v>0.3131944444444444</v>
      </c>
      <c r="C21" s="10" t="n">
        <v>0.4951388888888889</v>
      </c>
      <c r="D21" s="10" t="n">
        <v>0.5423611111111111</v>
      </c>
      <c r="E21" s="11" t="n">
        <v>0.7423611111111111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0.3131944444444444</v>
      </c>
      <c r="C22" s="10" t="n">
        <v>0.4916666666666666</v>
      </c>
      <c r="D22" s="10" t="n">
        <v>0.5423611111111111</v>
      </c>
      <c r="E22" s="11" t="n">
        <v>0.7430555555555556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0.3131944444444444</v>
      </c>
      <c r="C23" s="10" t="n">
        <v>0.4979166666666667</v>
      </c>
      <c r="D23" s="10" t="n">
        <v>0.5451388888888888</v>
      </c>
      <c r="E23" s="11" t="n">
        <v>0.7444444444444445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0.4861111111111111</v>
      </c>
      <c r="D26" s="10" t="n">
        <v>0.5048611111111111</v>
      </c>
      <c r="E26" s="11" t="n">
        <v>0.74375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0.4881944444444444</v>
      </c>
      <c r="D27" s="10" t="n">
        <v>0.5423611111111111</v>
      </c>
      <c r="E27" s="11" t="n">
        <v>0.7430555555555556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0.3138888888888889</v>
      </c>
      <c r="C28" s="10" t="n">
        <v>0.4881944444444444</v>
      </c>
      <c r="D28" s="10" t="n">
        <v>0.5423611111111111</v>
      </c>
      <c r="E28" s="11" t="n">
        <v>0.7423611111111111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0.3131944444444444</v>
      </c>
      <c r="C29" s="10" t="n">
        <v>0.4881944444444444</v>
      </c>
      <c r="D29" s="10" t="n">
        <v>0.5423611111111111</v>
      </c>
      <c r="E29" s="11" t="n">
        <v>0.74375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/>
      <c r="D30" s="10" t="n"/>
      <c r="E30" s="11" t="n">
        <v>0.7430555555555556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0.4875</v>
      </c>
      <c r="D5" s="10" t="n">
        <v>0.5416666666666666</v>
      </c>
      <c r="E5" s="11" t="n">
        <v>0.7465277777777778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0.3131944444444444</v>
      </c>
      <c r="C6" s="10" t="n">
        <v>0.4881944444444444</v>
      </c>
      <c r="D6" s="10" t="n">
        <v>0.5416666666666666</v>
      </c>
      <c r="E6" s="11" t="n">
        <v>0.7451388888888889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0.4875</v>
      </c>
      <c r="D7" s="10" t="n">
        <v>0.5423611111111111</v>
      </c>
      <c r="E7" s="11" t="n">
        <v>0.7479166666666667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0.4895833333333333</v>
      </c>
      <c r="D8" s="10" t="n">
        <v>0.5423611111111111</v>
      </c>
      <c r="E8" s="11" t="n">
        <v>0.7513888888888889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0.4881944444444444</v>
      </c>
      <c r="D9" s="10" t="n">
        <v>0.5416666666666666</v>
      </c>
      <c r="E9" s="11" t="n">
        <v>0.7486111111111111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0.49375</v>
      </c>
      <c r="D12" s="10" t="n">
        <v>0.5444444444444444</v>
      </c>
      <c r="E12" s="11" t="n">
        <v>0.7444444444444445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0.4868055555555555</v>
      </c>
      <c r="D13" s="10" t="n">
        <v>0.5416666666666666</v>
      </c>
      <c r="E13" s="11" t="n">
        <v>0.7777777777777778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0.49375</v>
      </c>
      <c r="D14" s="10" t="n">
        <v>0.5444444444444444</v>
      </c>
      <c r="E14" s="11" t="n">
        <v>0.7486111111111111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0.3131944444444444</v>
      </c>
      <c r="C15" s="10" t="n">
        <v>0.5159722222222223</v>
      </c>
      <c r="D15" s="10" t="n">
        <v>0.5715277777777777</v>
      </c>
      <c r="E15" s="11" t="n">
        <v>0.7513888888888889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0.3118055555555556</v>
      </c>
      <c r="C16" s="10" t="n">
        <v>0.4881944444444444</v>
      </c>
      <c r="D16" s="10" t="n">
        <v>0.5423611111111111</v>
      </c>
      <c r="E16" s="11" t="n">
        <v>0.7597222222222222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  <c r="I19" s="35" t="inlineStr">
        <is>
          <t>feriado</t>
        </is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  <c r="I20" s="35" t="inlineStr">
        <is>
          <t>feriado</t>
        </is>
      </c>
    </row>
    <row r="21">
      <c r="A21" s="9" t="n">
        <v>18</v>
      </c>
      <c r="B21" s="10" t="n">
        <v>0.3125</v>
      </c>
      <c r="C21" s="10" t="n">
        <v>0.4979166666666667</v>
      </c>
      <c r="D21" s="10" t="n">
        <v>0.5423611111111111</v>
      </c>
      <c r="E21" s="11" t="n">
        <v>0.7659722222222223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0.5</v>
      </c>
      <c r="D22" s="10" t="n">
        <v>0.5423611111111111</v>
      </c>
      <c r="E22" s="11" t="n">
        <v>0.7708333333333334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0.5041666666666667</v>
      </c>
      <c r="D23" s="10" t="n">
        <v>0.5423611111111111</v>
      </c>
      <c r="E23" s="11" t="n">
        <v>0.7756944444444445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0.3118055555555556</v>
      </c>
      <c r="C26" s="10" t="n">
        <v>0.4972222222222222</v>
      </c>
      <c r="D26" s="10" t="n">
        <v>0.5423611111111111</v>
      </c>
      <c r="E26" s="11" t="n">
        <v>0.7458333333333333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0.4875</v>
      </c>
      <c r="D27" s="10" t="n">
        <v>0.5416666666666666</v>
      </c>
      <c r="E27" s="11" t="n">
        <v>0.74375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0.3118055555555556</v>
      </c>
      <c r="C28" s="10" t="n">
        <v>0.4881944444444444</v>
      </c>
      <c r="D28" s="10" t="n">
        <v>0.5423611111111111</v>
      </c>
      <c r="E28" s="11" t="n">
        <v>0.7715277777777778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0.4944444444444445</v>
      </c>
      <c r="D29" s="10" t="n">
        <v>0.5423611111111111</v>
      </c>
      <c r="E29" s="11" t="n">
        <v>0.7666666666666667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/>
      <c r="D30" s="10" t="n"/>
      <c r="E30" s="11" t="n">
        <v>0.7506944444444444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L18" sqref="L1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0.3125</v>
      </c>
      <c r="C5" s="10" t="n">
        <v>0.5993055555555555</v>
      </c>
      <c r="D5" s="10" t="n">
        <v>0.6625</v>
      </c>
      <c r="E5" s="11" t="n">
        <v>0.7479166666666667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0.3125</v>
      </c>
      <c r="C6" s="10" t="n">
        <v>0.56875</v>
      </c>
      <c r="D6" s="10" t="n">
        <v>0.6368055555555555</v>
      </c>
      <c r="E6" s="11" t="n">
        <v>0.7423611111111111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0.3118055555555556</v>
      </c>
      <c r="C7" s="10" t="n">
        <v>0.5569444444444445</v>
      </c>
      <c r="D7" s="10" t="n">
        <v>0.6201388888888889</v>
      </c>
      <c r="E7" s="11" t="n">
        <v>0.7451388888888889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/>
      <c r="D8" s="10" t="n"/>
      <c r="E8" s="11" t="n">
        <v>0.7388888888888889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0.3152777777777778</v>
      </c>
      <c r="C9" s="10" t="n">
        <v>0.4770833333333334</v>
      </c>
      <c r="D9" s="10" t="n">
        <v>0.5694444444444444</v>
      </c>
      <c r="E9" s="11" t="n">
        <v>0.7409722222222223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t="inlineStr">
        <is>
          <t xml:space="preserve">ATESTADO </t>
        </is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</v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0.3340277777777778</v>
      </c>
      <c r="C12" s="10" t="n">
        <v>0.5743055555555555</v>
      </c>
      <c r="D12" s="10" t="n">
        <v>0.6375</v>
      </c>
      <c r="E12" s="11" t="n">
        <v>0.7486111111111111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0.5694444444444444</v>
      </c>
      <c r="D13" s="10" t="n">
        <v>0.6319444444444444</v>
      </c>
      <c r="E13" s="11" t="n">
        <v>0.7444444444444445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0.3152777777777778</v>
      </c>
      <c r="C14" s="10" t="n">
        <v>0.5833333333333334</v>
      </c>
      <c r="D14" s="10" t="n">
        <v>0.6479166666666667</v>
      </c>
      <c r="E14" s="11" t="n">
        <v>0.7472222222222222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0.3104166666666667</v>
      </c>
      <c r="C15" s="10" t="n">
        <v>0.5680555555555555</v>
      </c>
      <c r="D15" s="10" t="n">
        <v>0.6305555555555555</v>
      </c>
      <c r="E15" s="11" t="n">
        <v>0.7458333333333333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0.3111111111111111</v>
      </c>
      <c r="C16" s="10" t="n">
        <v>0.5875</v>
      </c>
      <c r="D16" s="10" t="n">
        <v>0.6541666666666667</v>
      </c>
      <c r="E16" s="11" t="n">
        <v>0.7472222222222222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</row>
    <row r="21">
      <c r="A21" s="9" t="n">
        <v>18</v>
      </c>
      <c r="B21" s="10" t="n">
        <v>0.3125</v>
      </c>
      <c r="C21" s="10" t="n">
        <v>0.5708333333333333</v>
      </c>
      <c r="D21" s="10" t="n">
        <v>0.5770833333333333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0.3104166666666667</v>
      </c>
      <c r="C22" s="10" t="n">
        <v>0.5736111111111111</v>
      </c>
      <c r="D22" s="10" t="n">
        <v>0.6361111111111111</v>
      </c>
      <c r="E22" s="11" t="n">
        <v>0.7458333333333333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0.3145833333333333</v>
      </c>
      <c r="C23" s="10" t="n">
        <v>0.5576388888888889</v>
      </c>
      <c r="D23" s="10" t="n">
        <v>0.6208333333333333</v>
      </c>
      <c r="E23" s="11" t="n">
        <v>0.7486111111111111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0.5895833333333333</v>
      </c>
      <c r="D26" s="10" t="n">
        <v>0.6222222222222222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0.3076388888888889</v>
      </c>
      <c r="C27" s="10" t="n">
        <v>0.59375</v>
      </c>
      <c r="D27" s="10" t="n">
        <v>0.6583333333333333</v>
      </c>
      <c r="E27" s="11" t="n">
        <v>0.7506944444444444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0.3243055555555556</v>
      </c>
      <c r="C28" s="10" t="n">
        <v>0.5527777777777778</v>
      </c>
      <c r="D28" s="10" t="n">
        <v>0.6006944444444444</v>
      </c>
      <c r="E28" s="11" t="n">
        <v>0.7666666666666667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0.3131944444444444</v>
      </c>
      <c r="C29" s="10" t="n">
        <v>0.5583333333333333</v>
      </c>
      <c r="D29" s="10" t="n">
        <v>0.68125</v>
      </c>
      <c r="E29" s="11" t="n">
        <v>0.7722222222222223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0.3104166666666667</v>
      </c>
      <c r="C30" s="10" t="n">
        <v>0.5986111111111111</v>
      </c>
      <c r="D30" s="10" t="n">
        <v>0.6666666666666666</v>
      </c>
      <c r="E30" s="11" t="n">
        <v>0.7645833333333333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0.001388888888888889</v>
      </c>
      <c r="N35" s="25">
        <f>G35</f>
        <v/>
      </c>
    </row>
    <row r="36" ht="15.75" customHeight="1" s="45" thickBot="1">
      <c r="G36" s="77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B33" sqref="B33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0.3125</v>
      </c>
      <c r="C5" s="10" t="n">
        <v>0.5423611111111111</v>
      </c>
      <c r="D5" s="10" t="n">
        <v>0.61875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0.31875</v>
      </c>
      <c r="C6" s="10" t="n">
        <v>0.5645833333333333</v>
      </c>
      <c r="D6" s="10" t="n">
        <v>0.60625</v>
      </c>
      <c r="E6" s="11" t="n">
        <v>0.7486111111111111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0.3145833333333333</v>
      </c>
      <c r="C7" s="10" t="n">
        <v>0.5555555555555556</v>
      </c>
      <c r="D7" s="10" t="n">
        <v>0.6180555555555556</v>
      </c>
      <c r="E7" s="11" t="n">
        <v>0.7576388888888889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/>
      <c r="D8" s="10" t="n"/>
      <c r="E8" s="11" t="n">
        <v>0.7388888888888889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0.3180555555555555</v>
      </c>
      <c r="C9" s="10" t="n">
        <v>0.4875</v>
      </c>
      <c r="D9" s="10" t="n">
        <v>0.55</v>
      </c>
      <c r="E9" s="11" t="n">
        <v>0.7020833333333333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</v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0.3326388888888889</v>
      </c>
      <c r="C12" s="10" t="n">
        <v>0.5493055555555556</v>
      </c>
      <c r="D12" s="10" t="n">
        <v>0.6284722222222222</v>
      </c>
      <c r="E12" s="11" t="n">
        <v>0.7451388888888889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0.5333333333333333</v>
      </c>
      <c r="D13" s="10" t="n">
        <v>0.6159722222222223</v>
      </c>
      <c r="E13" s="11" t="n">
        <v>0.74375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0.5833333333333334</v>
      </c>
      <c r="D14" s="10" t="n">
        <v>0.6479166666666667</v>
      </c>
      <c r="E14" s="11" t="n">
        <v>0.7465277777777778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0.3097222222222222</v>
      </c>
      <c r="C15" s="10" t="n">
        <v>0.5638888888888889</v>
      </c>
      <c r="D15" s="10" t="n">
        <v>0.6305555555555555</v>
      </c>
      <c r="E15" s="11" t="n">
        <v>0.7381944444444445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0.3104166666666667</v>
      </c>
      <c r="C16" s="10" t="n">
        <v>0.5576388888888889</v>
      </c>
      <c r="D16" s="10" t="n">
        <v>0.6284722222222222</v>
      </c>
      <c r="E16" s="11" t="n">
        <v>0.75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</row>
    <row r="21">
      <c r="A21" s="9" t="n">
        <v>18</v>
      </c>
      <c r="B21" s="10" t="n">
        <v>0.3333333333333333</v>
      </c>
      <c r="C21" s="10" t="n">
        <v>0.5416666666666666</v>
      </c>
      <c r="D21" s="10" t="n">
        <v>0.6055555555555555</v>
      </c>
      <c r="E21" s="11" t="n">
        <v>0.7479166666666667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0.3152777777777778</v>
      </c>
      <c r="C22" s="10" t="n">
        <v>0.5736111111111111</v>
      </c>
      <c r="D22" s="10" t="n">
        <v>0.6354166666666666</v>
      </c>
      <c r="E22" s="11" t="n">
        <v>0.7458333333333333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0.3138888888888889</v>
      </c>
      <c r="C23" s="10" t="n">
        <v>0.5381944444444444</v>
      </c>
      <c r="D23" s="10" t="n">
        <v>0.6069444444444444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0.5791666666666667</v>
      </c>
      <c r="D26" s="10" t="n">
        <v>0.6458333333333334</v>
      </c>
      <c r="E26" s="11" t="n">
        <v>0.75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0.3402777777777778</v>
      </c>
      <c r="C27" s="10" t="n">
        <v>0.55625</v>
      </c>
      <c r="D27" s="10" t="n">
        <v>0.6243055555555556</v>
      </c>
      <c r="E27" s="11" t="n">
        <v>0.7451388888888889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0.3131944444444444</v>
      </c>
      <c r="C28" s="10" t="n">
        <v>0.5541666666666667</v>
      </c>
      <c r="D28" s="10" t="n">
        <v>0.6291666666666667</v>
      </c>
      <c r="E28" s="11" t="n">
        <v>0.7361111111111112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0.3138888888888889</v>
      </c>
      <c r="C29" s="10" t="n">
        <v>0.5430555555555555</v>
      </c>
      <c r="D29" s="10" t="n">
        <v>0.6</v>
      </c>
      <c r="E29" s="11" t="n">
        <v>0.75625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0.5888888888888889</v>
      </c>
      <c r="D30" s="10" t="n">
        <v>0.6465277777777778</v>
      </c>
      <c r="E30" s="11" t="n">
        <v>0.7638888888888888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0.2506944444444444</v>
      </c>
      <c r="N35" s="25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1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O37" sqref="O37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0.3125</v>
      </c>
      <c r="C5" s="10" t="n">
        <v>0.6215277777777778</v>
      </c>
      <c r="D5" s="10" t="n">
        <v>0.6666666666666666</v>
      </c>
      <c r="E5" s="11" t="n">
        <v>0.7513888888888889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0.3138888888888889</v>
      </c>
      <c r="C6" s="10" t="n">
        <v>0.5680555555555555</v>
      </c>
      <c r="D6" s="10" t="n">
        <v>0.6319444444444444</v>
      </c>
      <c r="E6" s="11" t="n">
        <v>0.7680555555555556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0.5541666666666667</v>
      </c>
      <c r="D7" s="10" t="n">
        <v>0.6166666666666667</v>
      </c>
      <c r="E7" s="11" t="n">
        <v>0.7458333333333333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0.5465277777777777</v>
      </c>
      <c r="D8" s="10" t="n">
        <v>0.6083333333333333</v>
      </c>
      <c r="E8" s="11" t="n">
        <v>0.7479166666666667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0.3138888888888889</v>
      </c>
      <c r="C9" s="10" t="n">
        <v>0.5652777777777778</v>
      </c>
      <c r="D9" s="10" t="n">
        <v>0.6041666666666666</v>
      </c>
      <c r="E9" s="11" t="n">
        <v>0.7430555555555556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t="inlineStr">
        <is>
          <t xml:space="preserve"> </t>
        </is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</v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0.6145833333333334</v>
      </c>
      <c r="D12" s="10" t="n">
        <v>0.6784722222222223</v>
      </c>
      <c r="E12" s="11" t="n">
        <v>0.7486111111111111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>
        <v>0.3118055555555556</v>
      </c>
      <c r="C13" s="10" t="n">
        <v>0.6194444444444445</v>
      </c>
      <c r="D13" s="10" t="n">
        <v>0.6826388888888889</v>
      </c>
      <c r="E13" s="11" t="n">
        <v>0.7430555555555556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0.5784722222222223</v>
      </c>
      <c r="D14" s="10" t="n">
        <v>0.6409722222222223</v>
      </c>
      <c r="E14" s="11" t="n">
        <v>0.7590277777777777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0.2951388888888889</v>
      </c>
      <c r="C15" s="10" t="n">
        <v>0.58125</v>
      </c>
      <c r="D15" s="10" t="n">
        <v>0.6256944444444444</v>
      </c>
      <c r="E15" s="11" t="n">
        <v>0.7694444444444445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0.6027777777777777</v>
      </c>
      <c r="D16" s="10" t="n">
        <v>0.6659722222222222</v>
      </c>
      <c r="E16" s="11" t="n">
        <v>0.73125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0.6229166666666667</v>
      </c>
      <c r="D19" s="10" t="n">
        <v>0.6840277777777778</v>
      </c>
      <c r="E19" s="11" t="n">
        <v>0.7652777777777777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0.3125</v>
      </c>
      <c r="C20" s="10" t="n">
        <v>0.6090277777777777</v>
      </c>
      <c r="D20" s="10" t="n">
        <v>0.6729166666666667</v>
      </c>
      <c r="E20" s="11" t="n">
        <v>0.74375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0.3034722222222222</v>
      </c>
      <c r="C21" s="10" t="n">
        <v>0.5930555555555556</v>
      </c>
      <c r="D21" s="10" t="n">
        <v>0.6555555555555556</v>
      </c>
      <c r="E21" s="11" t="n">
        <v>0.7631944444444444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0.3041666666666666</v>
      </c>
      <c r="C22" s="10" t="n"/>
      <c r="D22" s="10" t="n"/>
      <c r="E22" s="11" t="n">
        <v>0.7138888888888889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0.6006944444444444</v>
      </c>
      <c r="D23" s="10" t="n">
        <v>0.6645833333333333</v>
      </c>
      <c r="E23" s="11" t="n">
        <v>0.7708333333333334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0.3166666666666667</v>
      </c>
      <c r="C26" s="10" t="n">
        <v>0.5972222222222222</v>
      </c>
      <c r="D26" s="10" t="n">
        <v>0.6263888888888889</v>
      </c>
      <c r="E26" s="11" t="n">
        <v>0.7472222222222222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0.3104166666666667</v>
      </c>
      <c r="C27" s="10" t="n">
        <v>0.5645833333333333</v>
      </c>
      <c r="D27" s="10" t="n">
        <v>0.6263888888888889</v>
      </c>
      <c r="E27" s="11" t="n">
        <v>0.7472222222222222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0.3104166666666667</v>
      </c>
      <c r="C28" s="10" t="n">
        <v>0.56875</v>
      </c>
      <c r="D28" s="10" t="n">
        <v>0.6263888888888889</v>
      </c>
      <c r="E28" s="11" t="n">
        <v>0.7506944444444444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0.5541666666666667</v>
      </c>
      <c r="D29" s="10" t="n">
        <v>0.6222222222222222</v>
      </c>
      <c r="E29" s="11" t="n">
        <v>0.7652777777777777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0.5840277777777778</v>
      </c>
      <c r="D30" s="10" t="n">
        <v>0.6458333333333334</v>
      </c>
      <c r="E30" s="11" t="n">
        <v>0.7548611111111111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0.3111111111111111</v>
      </c>
      <c r="C33" s="10" t="n">
        <v>0.6048611111111111</v>
      </c>
      <c r="D33" s="10" t="n">
        <v>0.6673611111111111</v>
      </c>
      <c r="E33" s="11" t="n">
        <v>0.7520833333333333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0.3125</v>
      </c>
      <c r="C34" s="10" t="n">
        <v>0.5430555555555555</v>
      </c>
      <c r="D34" s="10" t="n">
        <v>0.6076388888888888</v>
      </c>
      <c r="E34" s="11" t="n">
        <v>0.7451388888888889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0.08749999999999999</v>
      </c>
      <c r="N35" s="25">
        <f>G35</f>
        <v/>
      </c>
    </row>
    <row r="36" ht="15.75" customHeight="1" s="45" thickBot="1">
      <c r="G36" s="77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O37" sqref="O37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0.3125</v>
      </c>
      <c r="C5" s="10" t="n">
        <v>0.5694444444444444</v>
      </c>
      <c r="D5" s="10" t="n">
        <v>0.6319444444444444</v>
      </c>
      <c r="E5" s="11" t="n">
        <v>0.7631944444444444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0.3125</v>
      </c>
      <c r="C6" s="10" t="n">
        <v>0.5722222222222222</v>
      </c>
      <c r="D6" s="10" t="n">
        <v>0.6368055555555555</v>
      </c>
      <c r="E6" s="11" t="n">
        <v>0.7805555555555556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0.3048611111111111</v>
      </c>
      <c r="C7" s="10" t="n">
        <v>0.5541666666666667</v>
      </c>
      <c r="D7" s="10" t="n">
        <v>0.6069444444444444</v>
      </c>
      <c r="E7" s="11" t="n">
        <v>0.7493055555555556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0.5451388888888888</v>
      </c>
      <c r="D8" s="10" t="n">
        <v>0.60625</v>
      </c>
      <c r="E8" s="11" t="n">
        <v>0.75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0.3208333333333334</v>
      </c>
      <c r="C9" s="10" t="n">
        <v>0.5597222222222222</v>
      </c>
      <c r="D9" s="10" t="n">
        <v>0.6208333333333333</v>
      </c>
      <c r="E9" s="11" t="n">
        <v>0.7694444444444445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</v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0.3270833333333333</v>
      </c>
      <c r="C12" s="10" t="n">
        <v>0.5479166666666667</v>
      </c>
      <c r="D12" s="10" t="n">
        <v>0.6291666666666667</v>
      </c>
      <c r="E12" s="11" t="n">
        <v>0.7583333333333333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>
        <v>0.3118055555555556</v>
      </c>
      <c r="C13" s="10" t="n">
        <v>0.5895833333333333</v>
      </c>
      <c r="D13" s="10" t="n">
        <v>0.6444444444444445</v>
      </c>
      <c r="E13" s="11" t="n">
        <v>0.7652777777777777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/>
      <c r="D14" s="10" t="n"/>
      <c r="E14" s="11" t="n">
        <v>0.7409722222222223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0.3215277777777778</v>
      </c>
      <c r="C15" s="10" t="n">
        <v>0.5791666666666667</v>
      </c>
      <c r="D15" s="10" t="n">
        <v>0.6590277777777778</v>
      </c>
      <c r="E15" s="11" t="n">
        <v>0.7555555555555555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0.3111111111111111</v>
      </c>
      <c r="C16" s="10" t="n">
        <v>0.5958333333333333</v>
      </c>
      <c r="D16" s="10" t="n">
        <v>0.6506944444444445</v>
      </c>
      <c r="E16" s="11" t="n">
        <v>0.7222222222222222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0.3243055555555556</v>
      </c>
      <c r="C19" s="10" t="n">
        <v>0.5659722222222222</v>
      </c>
      <c r="D19" s="10" t="n">
        <v>0.6270833333333333</v>
      </c>
      <c r="E19" s="11" t="n">
        <v>0.7805555555555556</v>
      </c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</row>
    <row r="20">
      <c r="A20" s="9" t="n">
        <v>17</v>
      </c>
      <c r="B20" s="10" t="n">
        <v>0.3097222222222222</v>
      </c>
      <c r="C20" s="10" t="n">
        <v>0.5888888888888889</v>
      </c>
      <c r="D20" s="10" t="n">
        <v>0.6513888888888889</v>
      </c>
      <c r="E20" s="11" t="n">
        <v>0.7597222222222222</v>
      </c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</row>
    <row r="21">
      <c r="A21" s="9" t="n">
        <v>18</v>
      </c>
      <c r="B21" s="10" t="n">
        <v>0.3194444444444444</v>
      </c>
      <c r="C21" s="10" t="n">
        <v>0.5993055555555555</v>
      </c>
      <c r="D21" s="10" t="n">
        <v>0.6638888888888889</v>
      </c>
      <c r="E21" s="11" t="n">
        <v>0.7625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0.3104166666666667</v>
      </c>
      <c r="C22" s="10" t="n">
        <v>0.5451388888888888</v>
      </c>
      <c r="D22" s="10" t="n">
        <v>0.6145833333333334</v>
      </c>
      <c r="E22" s="11" t="n">
        <v>0.7631944444444444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0.3194444444444444</v>
      </c>
      <c r="C23" s="10" t="n">
        <v>0.6416666666666667</v>
      </c>
      <c r="D23" s="10" t="n">
        <v>0.68125</v>
      </c>
      <c r="E23" s="11" t="n">
        <v>0.7569444444444444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0.3423611111111111</v>
      </c>
      <c r="C26" s="10" t="n">
        <v>0.5645833333333333</v>
      </c>
      <c r="D26" s="10" t="n">
        <v>0.6680555555555555</v>
      </c>
      <c r="E26" s="11" t="n">
        <v>0.7534722222222222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0.3159722222222222</v>
      </c>
      <c r="C27" s="10" t="n">
        <v>0.5972222222222222</v>
      </c>
      <c r="D27" s="10" t="n">
        <v>0.6680555555555555</v>
      </c>
      <c r="E27" s="11" t="n">
        <v>0.7534722222222222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0.3159722222222222</v>
      </c>
      <c r="C28" s="10" t="n">
        <v>0.5986111111111111</v>
      </c>
      <c r="D28" s="10" t="n">
        <v>0.6402777777777777</v>
      </c>
      <c r="E28" s="11" t="n">
        <v>0.75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0.3138888888888889</v>
      </c>
      <c r="C29" s="10" t="n">
        <v>0.5541666666666667</v>
      </c>
      <c r="D29" s="10" t="n">
        <v>0.6215277777777778</v>
      </c>
      <c r="E29" s="11" t="n">
        <v>0.7652777777777777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0.5972222222222222</v>
      </c>
      <c r="D30" s="10" t="n">
        <v>0.6618055555555555</v>
      </c>
      <c r="E30" s="11" t="n">
        <v>0.7680555555555556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0.3131944444444444</v>
      </c>
      <c r="C33" s="10" t="n">
        <v>0.6055555555555555</v>
      </c>
      <c r="D33" s="10" t="n">
        <v>0.6652777777777777</v>
      </c>
      <c r="E33" s="11" t="n">
        <v>0.7708333333333334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0.3277777777777778</v>
      </c>
      <c r="C34" s="10" t="n">
        <v>0.5659722222222222</v>
      </c>
      <c r="D34" s="10" t="n">
        <v>0.6305555555555555</v>
      </c>
      <c r="E34" s="11" t="n">
        <v>0.7694444444444445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0.1479166666666667</v>
      </c>
      <c r="N35" s="25">
        <f>G35</f>
        <v/>
      </c>
    </row>
    <row r="36" ht="15.75" customHeight="1" s="45" thickBot="1">
      <c r="G36" s="77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1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B16" workbookViewId="0">
      <selection activeCell="K25" sqref="K25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0.4888888888888889</v>
      </c>
      <c r="D5" s="10" t="n">
        <v>0.5423611111111111</v>
      </c>
      <c r="E5" s="11" t="n">
        <v>0.7472222222222222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0.3131944444444444</v>
      </c>
      <c r="C6" s="10" t="n">
        <v>0.4916666666666666</v>
      </c>
      <c r="D6" s="10" t="n">
        <v>0.5423611111111111</v>
      </c>
      <c r="E6" s="11" t="n">
        <v>0.7486111111111111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0.4909722222222222</v>
      </c>
      <c r="D7" s="10" t="n">
        <v>0.5423611111111111</v>
      </c>
      <c r="E7" s="11" t="n">
        <v>0.75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0.3131944444444444</v>
      </c>
      <c r="C8" s="10" t="n">
        <v>0.4909722222222222</v>
      </c>
      <c r="D8" s="10" t="n">
        <v>0.5416666666666666</v>
      </c>
      <c r="E8" s="11" t="n">
        <v>0.7576388888888889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0.5006944444444444</v>
      </c>
      <c r="D9" s="10" t="n">
        <v>0.5416666666666666</v>
      </c>
      <c r="E9" s="11" t="n">
        <v>0.7520833333333333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0.7472222222222222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0.4888888888888889</v>
      </c>
      <c r="D13" s="10" t="n">
        <v>0.5416666666666666</v>
      </c>
      <c r="E13" s="11" t="n">
        <v>0.7458333333333333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0.4875</v>
      </c>
      <c r="D14" s="10" t="n">
        <v>0.5416666666666666</v>
      </c>
      <c r="E14" s="11" t="n">
        <v>0.7472222222222222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0.7541666666666667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0.4902777777777778</v>
      </c>
      <c r="D16" s="10" t="n">
        <v>0.5416666666666666</v>
      </c>
      <c r="E16" s="11" t="n">
        <v>0.7590277777777777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0.4909722222222222</v>
      </c>
      <c r="D19" s="10" t="n">
        <v>0.5416666666666666</v>
      </c>
      <c r="E19" s="11" t="n">
        <v>0.7611111111111111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0.3125</v>
      </c>
      <c r="C20" s="10" t="n">
        <v>0.4861111111111111</v>
      </c>
      <c r="D20" s="10" t="n">
        <v>0.5416666666666666</v>
      </c>
      <c r="E20" s="11" t="n">
        <v>0.75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0.3131944444444444</v>
      </c>
      <c r="C21" s="10" t="n">
        <v>0.4888888888888889</v>
      </c>
      <c r="D21" s="10" t="n">
        <v>0.5416666666666666</v>
      </c>
      <c r="E21" s="11" t="n">
        <v>0.7458333333333333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0.4902777777777778</v>
      </c>
      <c r="D22" s="10" t="n">
        <v>0.5416666666666666</v>
      </c>
      <c r="E22" s="11" t="n">
        <v>0.7729166666666667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0.4979166666666667</v>
      </c>
      <c r="D23" s="10" t="n">
        <v>0.5472222222222223</v>
      </c>
      <c r="E23" s="11" t="n">
        <v>0.7520833333333333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0.4881944444444444</v>
      </c>
      <c r="D26" s="10" t="n">
        <v>0.5416666666666666</v>
      </c>
      <c r="E26" s="11" t="n">
        <v>0.7451388888888889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0.4888888888888889</v>
      </c>
      <c r="D27" s="10" t="n">
        <v>0.5416666666666666</v>
      </c>
      <c r="E27" s="11" t="n">
        <v>0.7472222222222222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0.3125</v>
      </c>
      <c r="C28" s="10" t="n">
        <v>0.4944444444444445</v>
      </c>
      <c r="D28" s="10" t="n">
        <v>0.5416666666666666</v>
      </c>
      <c r="E28" s="11" t="n">
        <v>0.7527777777777778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0.4888888888888889</v>
      </c>
      <c r="D29" s="10" t="n">
        <v>0.5416666666666666</v>
      </c>
      <c r="E29" s="11" t="n">
        <v>0.7465277777777778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0.4875</v>
      </c>
      <c r="D30" s="10" t="n">
        <v>0.5416666666666666</v>
      </c>
      <c r="E30" s="11" t="n">
        <v>0.7458333333333333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0.4868055555555555</v>
      </c>
      <c r="D33" s="10" t="n">
        <v>0.5416666666666666</v>
      </c>
      <c r="E33" s="11" t="n">
        <v>0.7520833333333333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0.3125</v>
      </c>
      <c r="C34" s="10" t="n">
        <v>0.4881944444444444</v>
      </c>
      <c r="D34" s="10" t="n">
        <v>0.5416666666666666</v>
      </c>
      <c r="E34" s="11" t="n">
        <v>0.7631944444444444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8" workbookViewId="0">
      <selection activeCell="G36" sqref="G36:H3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0.3131944444444444</v>
      </c>
      <c r="C5" s="10" t="n">
        <v>0.4881944444444444</v>
      </c>
      <c r="D5" s="10" t="n">
        <v>0.5423611111111111</v>
      </c>
      <c r="E5" s="11" t="n">
        <v>0.7423611111111111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0.3131944444444444</v>
      </c>
      <c r="C6" s="10" t="n">
        <v>0.4881944444444444</v>
      </c>
      <c r="D6" s="10" t="n">
        <v>0.5423611111111111</v>
      </c>
      <c r="E6" s="11" t="n">
        <v>0.7423611111111111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35" t="inlineStr">
        <is>
          <t>ATESTADO</t>
        </is>
      </c>
    </row>
    <row r="8">
      <c r="A8" s="9" t="n">
        <v>5</v>
      </c>
      <c r="B8" s="10" t="n">
        <v>0.3152777777777778</v>
      </c>
      <c r="C8" s="10" t="n">
        <v>0.4875</v>
      </c>
      <c r="D8" s="10" t="n">
        <v>0.5430555555555555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0.3131944444444444</v>
      </c>
      <c r="C9" s="10" t="n">
        <v>0.4881944444444444</v>
      </c>
      <c r="D9" s="10" t="n">
        <v>0.5416666666666666</v>
      </c>
      <c r="E9" s="11" t="n">
        <v>0.7423611111111111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0.4868055555555555</v>
      </c>
      <c r="D12" s="10" t="n">
        <v>0.5423611111111111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0.4881944444444444</v>
      </c>
      <c r="D13" s="10" t="n">
        <v>0.54375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0.3138888888888889</v>
      </c>
      <c r="C14" s="10" t="n">
        <v>0.4861111111111111</v>
      </c>
      <c r="D14" s="10" t="n">
        <v>0.5416666666666666</v>
      </c>
      <c r="E14" s="11" t="n">
        <v>0.7430555555555556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0.3131944444444444</v>
      </c>
      <c r="C15" s="10" t="n">
        <v>0.4868055555555555</v>
      </c>
      <c r="D15" s="10" t="n">
        <v>0.5423611111111111</v>
      </c>
      <c r="E15" s="11" t="n">
        <v>0.7423611111111111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0.4868055555555555</v>
      </c>
      <c r="D16" s="10" t="n">
        <v>0.5423611111111111</v>
      </c>
      <c r="E16" s="11" t="n">
        <v>0.7465277777777778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0.4902777777777778</v>
      </c>
      <c r="D19" s="10" t="n">
        <v>0.54375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0.3138888888888889</v>
      </c>
      <c r="C20" s="10" t="n">
        <v>0.4861111111111111</v>
      </c>
      <c r="D20" s="10" t="n">
        <v>0.5423611111111111</v>
      </c>
      <c r="E20" s="11" t="n">
        <v>0.7416666666666667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0.3131944444444444</v>
      </c>
      <c r="C21" s="10" t="n">
        <v>0.4868055555555555</v>
      </c>
      <c r="D21" s="10" t="n">
        <v>0.5416666666666666</v>
      </c>
      <c r="E21" s="11" t="n">
        <v>0.7430555555555556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0.4881944444444444</v>
      </c>
      <c r="D22" s="10" t="n">
        <v>0.5423611111111111</v>
      </c>
      <c r="E22" s="11" t="n">
        <v>0.7430555555555556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0.4902777777777778</v>
      </c>
      <c r="D23" s="10" t="n">
        <v>0.5423611111111111</v>
      </c>
      <c r="E23" s="11" t="n">
        <v>0.7423611111111111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0.4861111111111111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0.3131944444444444</v>
      </c>
      <c r="C27" s="10" t="n">
        <v>0.4868055555555555</v>
      </c>
      <c r="D27" s="10" t="n">
        <v>0.5430555555555555</v>
      </c>
      <c r="E27" s="11" t="n">
        <v>0.7444444444444445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0.3125</v>
      </c>
      <c r="C28" s="10" t="n">
        <v>0.4895833333333333</v>
      </c>
      <c r="D28" s="10" t="n">
        <v>0.5416666666666666</v>
      </c>
      <c r="E28" s="11" t="n">
        <v>0.6243055555555556</v>
      </c>
      <c r="F28" s="11">
        <f>IF((C28-B28)+(E28-D28)=0,0,((C28-B28)+(E28-D28))-$K$5)</f>
        <v/>
      </c>
      <c r="G28" s="10" t="n">
        <v>0.08888888888888889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0.4875</v>
      </c>
      <c r="D29" s="10" t="n">
        <v>0.5430555555555555</v>
      </c>
      <c r="E29" s="11" t="n">
        <v>0.7423611111111111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0.4951388888888889</v>
      </c>
      <c r="D30" s="10" t="n">
        <v>0.5423611111111111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0.4881944444444444</v>
      </c>
      <c r="D33" s="10" t="n">
        <v>0.5430555555555555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0.3125</v>
      </c>
      <c r="C34" s="10" t="n">
        <v>0.5069444444444444</v>
      </c>
      <c r="D34" s="10" t="n">
        <v>0.5416666666666666</v>
      </c>
      <c r="E34" s="11" t="n">
        <v>0.5888888888888889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0.01388888888888889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N39-L39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J22" sqref="J22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8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0.3145833333333333</v>
      </c>
      <c r="C5" s="10" t="n">
        <v>0.4881944444444444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12" t="inlineStr">
        <is>
          <t xml:space="preserve">FALTA </t>
        </is>
      </c>
    </row>
    <row r="7">
      <c r="A7" s="9" t="n">
        <v>4</v>
      </c>
      <c r="B7" s="10" t="n">
        <v>0.3125</v>
      </c>
      <c r="C7" s="10" t="n">
        <v>0.4868055555555555</v>
      </c>
      <c r="D7" s="10" t="n">
        <v>0.5416666666666666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0.3131944444444444</v>
      </c>
      <c r="C8" s="10" t="n">
        <v>0.4861111111111111</v>
      </c>
      <c r="D8" s="10" t="n">
        <v>0.5416666666666666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0.3138888888888889</v>
      </c>
      <c r="C9" s="10" t="n">
        <v>0.4861111111111111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0.4861111111111111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0.4965277777777778</v>
      </c>
      <c r="D13" s="10" t="n">
        <v>0.5520833333333334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0.4868055555555555</v>
      </c>
      <c r="D14" s="10" t="n">
        <v>0.5416666666666666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0.3270833333333333</v>
      </c>
      <c r="C15" s="10" t="n">
        <v>0.4875</v>
      </c>
      <c r="D15" s="10" t="n">
        <v>0.5479166666666667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0.3131944444444444</v>
      </c>
      <c r="C16" s="10" t="n">
        <v>0.4861111111111111</v>
      </c>
      <c r="D16" s="10" t="n">
        <v>0.5416666666666666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0.4861111111111111</v>
      </c>
      <c r="D19" s="10" t="n">
        <v>0.5416666666666666</v>
      </c>
      <c r="E19" s="11" t="n">
        <v>0.7416666666666667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0.3152777777777778</v>
      </c>
      <c r="C20" s="10" t="n">
        <v>0.4861111111111111</v>
      </c>
      <c r="D20" s="10" t="n">
        <v>0.5416666666666666</v>
      </c>
      <c r="E20" s="11" t="n">
        <v>0.7416666666666667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0.3201388888888889</v>
      </c>
      <c r="C21" s="10" t="n">
        <v>0.4861111111111111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0.31875</v>
      </c>
      <c r="C22" s="10" t="n"/>
      <c r="D22" s="10" t="n"/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0.3138888888888889</v>
      </c>
      <c r="C23" s="10" t="n">
        <v>0.4951388888888889</v>
      </c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0.3215277777777778</v>
      </c>
      <c r="C26" s="10" t="n">
        <v>0.4861111111111111</v>
      </c>
      <c r="D26" s="10" t="n">
        <v>0.5423611111111111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0.3166666666666667</v>
      </c>
      <c r="C27" s="10" t="n">
        <v>0.4875</v>
      </c>
      <c r="D27" s="10" t="n">
        <v>0.5423611111111111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0.3333333333333333</v>
      </c>
      <c r="C28" s="10" t="n">
        <v>0.4861111111111111</v>
      </c>
      <c r="D28" s="10" t="n">
        <v>0.5416666666666666</v>
      </c>
      <c r="E28" s="11" t="n">
        <v>0.7423611111111111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0.3131944444444444</v>
      </c>
      <c r="C29" s="10" t="n">
        <v>0.4493055555555556</v>
      </c>
      <c r="D29" s="10" t="n">
        <v>0.4930555555555556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0.3354166666666666</v>
      </c>
      <c r="C30" s="10" t="n">
        <v>0.4861111111111111</v>
      </c>
      <c r="D30" s="10" t="n">
        <v>0.5416666666666666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0.3166666666666667</v>
      </c>
      <c r="C33" s="10" t="n">
        <v>0.4875</v>
      </c>
      <c r="D33" s="10" t="n">
        <v>0.5416666666666666</v>
      </c>
      <c r="E33" s="11" t="n">
        <v>0.7423611111111111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0.3347222222222222</v>
      </c>
      <c r="C34" s="10" t="n"/>
      <c r="D34" s="10" t="n"/>
      <c r="E34" s="11" t="n">
        <v>0.7416666666666667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7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42">
        <f>L39-N35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L19" sqref="L19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8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0.3145833333333333</v>
      </c>
      <c r="C5" s="10" t="n">
        <v>0.4881944444444444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0.4861111111111111</v>
      </c>
      <c r="D6" s="10" t="n">
        <v>0.5416666666666666</v>
      </c>
      <c r="E6" s="11" t="n">
        <v>0.7416666666666667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0.4861111111111111</v>
      </c>
      <c r="D7" s="10" t="n">
        <v>0.5416666666666666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0.3131944444444444</v>
      </c>
      <c r="C8" s="10" t="n">
        <v>0.4861111111111111</v>
      </c>
      <c r="D8" s="10" t="n">
        <v>0.5416666666666666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0.4861111111111111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0.4861111111111111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0.4861111111111111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>
        <v>0.3125</v>
      </c>
      <c r="C14" s="10" t="n">
        <v>0.4861111111111111</v>
      </c>
      <c r="D14" s="10" t="n">
        <v>0.5416666666666666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>
        <v>0.3125</v>
      </c>
      <c r="C15" s="10" t="n">
        <v>0.4868055555555555</v>
      </c>
      <c r="D15" s="10" t="n">
        <v>0.5416666666666666</v>
      </c>
      <c r="E15" s="11" t="n">
        <v>0.7423611111111111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0.4868055555555555</v>
      </c>
      <c r="D16" s="10" t="n">
        <v>0.5416666666666666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0.4861111111111111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0.3125</v>
      </c>
      <c r="C20" s="10" t="n">
        <v>0.4861111111111111</v>
      </c>
      <c r="D20" s="10" t="n">
        <v>0.5416666666666666</v>
      </c>
      <c r="E20" s="11" t="n">
        <v>0.7416666666666667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0.3125</v>
      </c>
      <c r="C21" s="10" t="n">
        <v>0.4861111111111111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0.3131944444444444</v>
      </c>
      <c r="C22" s="10" t="n">
        <v>0.4861111111111111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0.4868055555555555</v>
      </c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0.4861111111111111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0.4861111111111111</v>
      </c>
      <c r="D27" s="10" t="n">
        <v>0.5416666666666666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0.3125</v>
      </c>
      <c r="C28" s="10" t="n">
        <v>0.4868055555555555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0.4868055555555555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0.4861111111111111</v>
      </c>
      <c r="D30" s="10" t="n">
        <v>0.5416666666666666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0.4875</v>
      </c>
      <c r="D33" s="10" t="n">
        <v>0.5416666666666666</v>
      </c>
      <c r="E33" s="11" t="n">
        <v>0.7423611111111111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0.3131944444444444</v>
      </c>
      <c r="C34" s="10" t="n">
        <v>0.4868055555555555</v>
      </c>
      <c r="D34" s="10" t="n">
        <v>0.5416666666666666</v>
      </c>
      <c r="E34" s="11" t="n">
        <v>0.7416666666666667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L39-N35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K22" sqref="K22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8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0.3145833333333333</v>
      </c>
      <c r="C5" s="10" t="n">
        <v>0.4881944444444444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0.4861111111111111</v>
      </c>
      <c r="D6" s="10" t="n">
        <v>0.5416666666666666</v>
      </c>
      <c r="E6" s="11" t="n">
        <v>0.7416666666666667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0.4861111111111111</v>
      </c>
      <c r="D7" s="10" t="n">
        <v>0.5416666666666666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0.3131944444444444</v>
      </c>
      <c r="C8" s="10" t="n">
        <v>0.4861111111111111</v>
      </c>
      <c r="D8" s="10" t="n">
        <v>0.5416666666666666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0.4861111111111111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0.4861111111111111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0.4861111111111111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12" t="inlineStr">
        <is>
          <t>FALTA</t>
        </is>
      </c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0.7423611111111111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12" t="inlineStr">
        <is>
          <t>FALTA</t>
        </is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0.4861111111111111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  <c r="I20" s="12" t="inlineStr">
        <is>
          <t>FALTA</t>
        </is>
      </c>
    </row>
    <row r="21">
      <c r="A21" s="9" t="n">
        <v>18</v>
      </c>
      <c r="B21" s="10" t="n">
        <v>0.3138888888888889</v>
      </c>
      <c r="C21" s="10" t="n">
        <v>0.4861111111111111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0.3131944444444444</v>
      </c>
      <c r="C22" s="10" t="n">
        <v>0.4861111111111111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0.4868055555555555</v>
      </c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0.4861111111111111</v>
      </c>
      <c r="D26" s="10" t="n">
        <v>0.5423611111111111</v>
      </c>
      <c r="E26" s="11" t="n">
        <v>0.7416666666666667</v>
      </c>
      <c r="F26" s="11">
        <f>IF((C26-B26)+(E26-D26)=0,0,((C26-B26)+(E26-D26))-$K$5)</f>
        <v/>
      </c>
      <c r="G26" s="10" t="n">
        <v>0.03333333333333333</v>
      </c>
      <c r="H26" s="10">
        <f>IF((F26-$K$3)&gt;$K$4,ABS(F26-$K$3),0)</f>
        <v/>
      </c>
      <c r="I26" s="35" t="inlineStr">
        <is>
          <t>atestado</t>
        </is>
      </c>
    </row>
    <row r="27">
      <c r="A27" s="9" t="n">
        <v>24</v>
      </c>
      <c r="B27" s="10" t="n">
        <v>0.3125</v>
      </c>
      <c r="C27" s="10" t="n">
        <v>0.4861111111111111</v>
      </c>
      <c r="D27" s="10" t="n">
        <v>0.5423611111111111</v>
      </c>
      <c r="E27" s="11" t="n">
        <v>0.7416666666666667</v>
      </c>
      <c r="F27" s="11">
        <f>IF((C27-B27)+(E27-D27)=0,0,((C27-B27)+(E27-D27))-$K$5)</f>
        <v/>
      </c>
      <c r="G27" s="10" t="n">
        <v>0.03333333333333333</v>
      </c>
      <c r="H27" s="10">
        <f>IF((F27-$K$3)&gt;$K$4,ABS(F27-$K$3),0)</f>
        <v/>
      </c>
      <c r="I27" s="35" t="inlineStr">
        <is>
          <t>atestado</t>
        </is>
      </c>
    </row>
    <row r="28">
      <c r="A28" s="9" t="n">
        <v>25</v>
      </c>
      <c r="B28" s="10" t="n">
        <v>0.3125</v>
      </c>
      <c r="C28" s="10" t="n">
        <v>0.4861111111111111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 t="n">
        <v>0.03333333333333333</v>
      </c>
      <c r="H28" s="10">
        <f>IF((F28-$K$3)&gt;$K$4,ABS(F28-$K$3),0)</f>
        <v/>
      </c>
      <c r="I28" s="35" t="inlineStr">
        <is>
          <t>atestado</t>
        </is>
      </c>
    </row>
    <row r="29">
      <c r="A29" s="9" t="n">
        <v>26</v>
      </c>
      <c r="B29" s="10" t="n">
        <v>0.3125</v>
      </c>
      <c r="C29" s="10" t="n">
        <v>0.4868055555555555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0.3138888888888889</v>
      </c>
      <c r="C30" s="10" t="n">
        <v>0.4861111111111111</v>
      </c>
      <c r="D30" s="10" t="n">
        <v>0.5083333333333333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0.3131944444444444</v>
      </c>
      <c r="C33" s="10" t="n">
        <v>0.5006944444444444</v>
      </c>
      <c r="D33" s="10" t="n">
        <v>0.5423611111111111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0.3131944444444444</v>
      </c>
      <c r="C34" s="10" t="n">
        <v>0.4895833333333333</v>
      </c>
      <c r="D34" s="10" t="n">
        <v>0.5</v>
      </c>
      <c r="E34" s="11" t="n">
        <v>0.7416666666666667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N39-L39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5" workbookViewId="0">
      <selection activeCell="E34" sqref="E3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8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0.3152777777777778</v>
      </c>
      <c r="C4" s="10" t="n">
        <v>0.4930555555555556</v>
      </c>
      <c r="D4" s="10" t="n">
        <v>0.5416666666666666</v>
      </c>
      <c r="E4" s="11" t="n">
        <v>0.7361111111111112</v>
      </c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0.3416666666666667</v>
      </c>
      <c r="C5" s="10" t="n"/>
      <c r="D5" s="10" t="n"/>
      <c r="E5" s="11" t="n">
        <v>0.6472222222222223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>FERIADO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0.5277777777777778</v>
      </c>
      <c r="D9" s="10" t="n">
        <v>0.5416666666666666</v>
      </c>
      <c r="E9" s="11" t="n">
        <v>0.7423611111111111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0.3125</v>
      </c>
      <c r="C10" s="10" t="n">
        <v>0.4930555555555556</v>
      </c>
      <c r="D10" s="10" t="n">
        <v>0.5069444444444444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0.3118055555555556</v>
      </c>
      <c r="C11" s="10" t="n">
        <v>0.5284722222222222</v>
      </c>
      <c r="D11" s="10" t="n">
        <v>0.5416666666666666</v>
      </c>
      <c r="E11" s="11" t="n">
        <v>0.7416666666666667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0.3138888888888889</v>
      </c>
      <c r="C12" s="10" t="n">
        <v>0.49375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0.4861111111111111</v>
      </c>
      <c r="D13" s="10" t="n">
        <v>0.5416666666666666</v>
      </c>
      <c r="E13" s="11" t="n">
        <v>0.7430555555555556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0.3159722222222222</v>
      </c>
      <c r="C16" s="10" t="n">
        <v>0.4895833333333333</v>
      </c>
      <c r="D16" s="10" t="n">
        <v>0.5416666666666666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0.3166666666666667</v>
      </c>
      <c r="C18" s="10" t="n">
        <v>0.5069444444444444</v>
      </c>
      <c r="D18" s="10" t="n">
        <v>0.5416666666666666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0.5659722222222222</v>
      </c>
      <c r="D19" s="10" t="n">
        <v>0.5833333333333334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0.3145833333333333</v>
      </c>
      <c r="C20" s="10" t="n">
        <v>0.4868055555555555</v>
      </c>
      <c r="D20" s="10" t="n">
        <v>0.5458333333333333</v>
      </c>
      <c r="E20" s="11" t="n">
        <v>0.7423611111111111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0.3208333333333334</v>
      </c>
      <c r="C23" s="10" t="n">
        <v>0.5069444444444444</v>
      </c>
      <c r="D23" s="10" t="n">
        <v>0.5416666666666666</v>
      </c>
      <c r="E23" s="11" t="n">
        <v>0.74375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>FERIADO</t>
        </is>
      </c>
    </row>
    <row r="25">
      <c r="A25" s="9" t="n">
        <v>22</v>
      </c>
      <c r="B25" s="10" t="n">
        <v>0.3229166666666667</v>
      </c>
      <c r="C25" s="10" t="n">
        <v>0.5701388888888889</v>
      </c>
      <c r="D25" s="10" t="n">
        <v>0.61875</v>
      </c>
      <c r="E25" s="11" t="n">
        <v>0.7423611111111111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0.3145833333333333</v>
      </c>
      <c r="C26" s="10" t="n"/>
      <c r="D26" s="10" t="n"/>
      <c r="E26" s="11" t="n">
        <v>0.74375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0.3291666666666667</v>
      </c>
      <c r="C27" s="10" t="n">
        <v>0.5347222222222222</v>
      </c>
      <c r="D27" s="10" t="n">
        <v>0.5895833333333333</v>
      </c>
      <c r="E27" s="11" t="n">
        <v>0.7430555555555556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12" t="inlineStr">
        <is>
          <t>FALTA</t>
        </is>
      </c>
    </row>
    <row r="31">
      <c r="A31" s="9" t="n">
        <v>28</v>
      </c>
      <c r="B31" s="10" t="n">
        <v>0.325</v>
      </c>
      <c r="C31" s="10" t="n">
        <v>0.4868055555555555</v>
      </c>
      <c r="D31" s="10" t="n">
        <v>0.5416666666666666</v>
      </c>
      <c r="E31" s="11" t="n">
        <v>0.7645833333333333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0.3131944444444444</v>
      </c>
      <c r="C32" s="10" t="n">
        <v>0.4861111111111111</v>
      </c>
      <c r="D32" s="10" t="n">
        <v>0.5493055555555556</v>
      </c>
      <c r="E32" s="11" t="n">
        <v>0.7430555555555556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>
        <v>0.5416666666666666</v>
      </c>
      <c r="E33" s="11" t="n">
        <v>0.7444444444444445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0.04166666666666666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N35-L39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5" workbookViewId="0">
      <selection activeCell="J44" sqref="J4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0.3388888888888889</v>
      </c>
      <c r="C4" s="10" t="n">
        <v>0.4875</v>
      </c>
      <c r="D4" s="10" t="n">
        <v>0.5430555555555555</v>
      </c>
      <c r="E4" s="11" t="n">
        <v>0.7416666666666667</v>
      </c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0.4958333333333333</v>
      </c>
      <c r="D5" s="10" t="n">
        <v>0.5416666666666666</v>
      </c>
      <c r="E5" s="11" t="n">
        <v>0.7458333333333333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>FERIADO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</v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0.31875</v>
      </c>
      <c r="C9" s="10" t="n">
        <v>0.5111111111111111</v>
      </c>
      <c r="D9" s="10" t="n">
        <v>0.5423611111111111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0.3131944444444444</v>
      </c>
      <c r="C10" s="10" t="n">
        <v>0.4895833333333333</v>
      </c>
      <c r="D10" s="10" t="n">
        <v>0.5416666666666666</v>
      </c>
      <c r="E10" s="11" t="n">
        <v>0.7430555555555556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/>
      <c r="D11" s="10" t="n"/>
      <c r="E11" s="11" t="n">
        <v>0.40625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35" t="inlineStr">
        <is>
          <t xml:space="preserve">AUDIENCIA </t>
        </is>
      </c>
    </row>
    <row r="12">
      <c r="A12" s="9" t="n">
        <v>9</v>
      </c>
      <c r="B12" s="10" t="n">
        <v>0.3131944444444444</v>
      </c>
      <c r="C12" s="10" t="n">
        <v>0.4881944444444444</v>
      </c>
      <c r="D12" s="10" t="n">
        <v>0.5041666666666667</v>
      </c>
      <c r="E12" s="11" t="n">
        <v>0.7423611111111111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0.4881944444444444</v>
      </c>
      <c r="D13" s="10" t="n">
        <v>0.5041666666666667</v>
      </c>
      <c r="E13" s="11" t="n">
        <v>0.7423611111111111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>
        <v>0.5465277777777777</v>
      </c>
      <c r="E16" s="11" t="n">
        <v>0.7465277777777778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12" t="inlineStr">
        <is>
          <t xml:space="preserve">FALTA </t>
        </is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12" t="inlineStr">
        <is>
          <t>FALTA</t>
        </is>
      </c>
    </row>
    <row r="18">
      <c r="A18" s="9" t="n">
        <v>15</v>
      </c>
      <c r="B18" s="10" t="n">
        <v>0.3125</v>
      </c>
      <c r="C18" s="10" t="n">
        <v>0.5104166666666666</v>
      </c>
      <c r="D18" s="10" t="n">
        <v>0.5423611111111111</v>
      </c>
      <c r="E18" s="11" t="n">
        <v>0.74375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0.4993055555555556</v>
      </c>
      <c r="D19" s="10" t="n">
        <v>0.51875</v>
      </c>
      <c r="E19" s="11" t="n">
        <v>0.7534722222222222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0.3131944444444444</v>
      </c>
      <c r="C20" s="10" t="n">
        <v>0.4868055555555555</v>
      </c>
      <c r="D20" s="10" t="n">
        <v>0.5416666666666666</v>
      </c>
      <c r="E20" s="11" t="n">
        <v>0.74375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0.3152777777777778</v>
      </c>
      <c r="C23" s="10" t="n">
        <v>0.49375</v>
      </c>
      <c r="D23" s="10" t="n">
        <v>0.5423611111111111</v>
      </c>
      <c r="E23" s="11" t="n">
        <v>0.7569444444444444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>FERIADO</t>
        </is>
      </c>
    </row>
    <row r="25">
      <c r="A25" s="9" t="n">
        <v>22</v>
      </c>
      <c r="B25" s="10" t="n">
        <v>0.3131944444444444</v>
      </c>
      <c r="C25" s="10" t="n">
        <v>0.4875</v>
      </c>
      <c r="D25" s="10" t="n">
        <v>0.5215277777777778</v>
      </c>
      <c r="E25" s="11" t="n">
        <v>0.7444444444444445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0.4881944444444444</v>
      </c>
      <c r="D26" s="10" t="n">
        <v>0.5118055555555555</v>
      </c>
      <c r="E26" s="11" t="n">
        <v>0.7458333333333333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0.5208333333333334</v>
      </c>
      <c r="D27" s="10" t="n">
        <v>0.5416666666666666</v>
      </c>
      <c r="E27" s="11" t="n">
        <v>0.7548611111111111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0.4986111111111111</v>
      </c>
      <c r="D30" s="10" t="n">
        <v>0.5472222222222223</v>
      </c>
      <c r="E30" s="11" t="n">
        <v>0.7479166666666667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0.3131944444444444</v>
      </c>
      <c r="C31" s="10" t="n">
        <v>0.4875</v>
      </c>
      <c r="D31" s="10" t="n">
        <v>0.5430555555555555</v>
      </c>
      <c r="E31" s="11" t="n">
        <v>0.7576388888888889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0.4881944444444444</v>
      </c>
      <c r="D32" s="10" t="n">
        <v>0.5340277777777778</v>
      </c>
      <c r="E32" s="11" t="n">
        <v>0.7451388888888889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0.3131944444444444</v>
      </c>
      <c r="C33" s="10" t="n">
        <v>0.4875</v>
      </c>
      <c r="D33" s="10" t="n">
        <v>0.5409722222222222</v>
      </c>
      <c r="E33" s="11" t="n">
        <v>0.7416666666666667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B37" s="15" t="n"/>
      <c r="C37" s="15" t="n"/>
      <c r="J37" s="34" t="n"/>
      <c r="L37" s="28" t="n"/>
      <c r="N37" s="27" t="n"/>
      <c r="O37" s="39">
        <f>N39-L39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8" workbookViewId="0">
      <selection activeCell="E34" sqref="E3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8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0.3138888888888889</v>
      </c>
      <c r="C4" s="10" t="n">
        <v>0.4875</v>
      </c>
      <c r="D4" s="10" t="n">
        <v>0.5416666666666666</v>
      </c>
      <c r="E4" s="11" t="n">
        <v>0.7423611111111111</v>
      </c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0.3152777777777778</v>
      </c>
      <c r="C5" s="10" t="n">
        <v>0.4868055555555555</v>
      </c>
      <c r="D5" s="10" t="n">
        <v>0.5416666666666666</v>
      </c>
      <c r="E5" s="11" t="n">
        <v>0.7423611111111111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>FERIADO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0.4868055555555555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0.3131944444444444</v>
      </c>
      <c r="C10" s="10" t="n">
        <v>0.4909722222222222</v>
      </c>
      <c r="D10" s="10" t="n">
        <v>0.5416666666666666</v>
      </c>
      <c r="E10" s="11" t="n">
        <v>0.74375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0.4868055555555555</v>
      </c>
      <c r="D11" s="10" t="n">
        <v>0.5416666666666666</v>
      </c>
      <c r="E11" s="11" t="n">
        <v>0.7430555555555556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0.7423611111111111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12" t="inlineStr">
        <is>
          <t>FALTA</t>
        </is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0.3159722222222222</v>
      </c>
      <c r="C16" s="10" t="n">
        <v>0.4881944444444444</v>
      </c>
      <c r="D16" s="10" t="n">
        <v>0.5416666666666666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0.3125</v>
      </c>
      <c r="C17" s="10" t="n">
        <v>0.4861111111111111</v>
      </c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0.5208333333333334</v>
      </c>
      <c r="D18" s="10" t="n">
        <v>0.5423611111111111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0.4895833333333333</v>
      </c>
      <c r="D19" s="10" t="n">
        <v>0.5423611111111111</v>
      </c>
      <c r="E19" s="11" t="n">
        <v>0.7416666666666667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0.3125</v>
      </c>
      <c r="C20" s="10" t="n">
        <v>0.4875</v>
      </c>
      <c r="D20" s="10" t="n">
        <v>0.5416666666666666</v>
      </c>
      <c r="E20" s="11" t="n">
        <v>0.74375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0.3131944444444444</v>
      </c>
      <c r="C23" s="10" t="n">
        <v>0.4861111111111111</v>
      </c>
      <c r="D23" s="10" t="n">
        <v>0.5416666666666666</v>
      </c>
      <c r="E23" s="11" t="n">
        <v>0.74375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>FERIADO</t>
        </is>
      </c>
    </row>
    <row r="25">
      <c r="A25" s="9" t="n">
        <v>22</v>
      </c>
      <c r="B25" s="10" t="n">
        <v>0.3131944444444444</v>
      </c>
      <c r="C25" s="10" t="n">
        <v>0.4875</v>
      </c>
      <c r="D25" s="10" t="n">
        <v>0.5416666666666666</v>
      </c>
      <c r="E25" s="11" t="n">
        <v>0.74375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0.4861111111111111</v>
      </c>
      <c r="D26" s="10" t="n">
        <v>0.5423611111111111</v>
      </c>
      <c r="E26" s="11" t="n">
        <v>0.74375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0.4895833333333333</v>
      </c>
      <c r="D27" s="10" t="n">
        <v>0.5416666666666666</v>
      </c>
      <c r="E27" s="11" t="n">
        <v>0.7430555555555556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0.3131944444444444</v>
      </c>
      <c r="C30" s="10" t="n">
        <v>0.4888888888888889</v>
      </c>
      <c r="D30" s="10" t="n">
        <v>0.5416666666666666</v>
      </c>
      <c r="E30" s="11" t="n">
        <v>0.7451388888888889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0.3125</v>
      </c>
      <c r="C31" s="10" t="n">
        <v>0.4875</v>
      </c>
      <c r="D31" s="10" t="n">
        <v>0.5416666666666666</v>
      </c>
      <c r="E31" s="11" t="n">
        <v>0.7541666666666667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0.4881944444444444</v>
      </c>
      <c r="D32" s="10" t="n">
        <v>0.5416666666666666</v>
      </c>
      <c r="E32" s="11" t="n">
        <v>0.7430555555555556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0.4875</v>
      </c>
      <c r="D33" s="10" t="n">
        <v>0.5409722222222222</v>
      </c>
      <c r="E33" s="11" t="n">
        <v>0.7416666666666667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N35-L39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B13" workbookViewId="0">
      <selection activeCell="E34" sqref="E3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855468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8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0.3138888888888889</v>
      </c>
      <c r="C4" s="10" t="n">
        <v>0.4868055555555555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0.3819444444444444</v>
      </c>
      <c r="D5" s="10" t="n">
        <v>0.5506944444444445</v>
      </c>
      <c r="E5" s="11" t="n">
        <v>0.7423611111111111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I5" s="47" t="inlineStr">
        <is>
          <t>ATESTADO</t>
        </is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 xml:space="preserve">FERIADO 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0.3180555555555555</v>
      </c>
      <c r="C9" s="10" t="n">
        <v>0.4868055555555555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0.3131944444444444</v>
      </c>
      <c r="C10" s="10" t="n">
        <v>0.4909722222222222</v>
      </c>
      <c r="D10" s="10" t="n">
        <v>0.5416666666666666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0.4861111111111111</v>
      </c>
      <c r="D11" s="10" t="n">
        <v>0.5416666666666666</v>
      </c>
      <c r="E11" s="11" t="n">
        <v>0.7430555555555556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0.4875</v>
      </c>
      <c r="D12" s="10" t="n">
        <v>0.6298611111111111</v>
      </c>
      <c r="E12" s="11" t="n">
        <v>0.7423611111111111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0.3145833333333333</v>
      </c>
      <c r="C13" s="10" t="n">
        <v>0.4868055555555555</v>
      </c>
      <c r="D13" s="10" t="n">
        <v>0.54375</v>
      </c>
      <c r="E13" s="11" t="n">
        <v>0.6180555555555556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47" t="inlineStr">
        <is>
          <t>ATC</t>
        </is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0.3159722222222222</v>
      </c>
      <c r="C16" s="10" t="n">
        <v>0.4881944444444444</v>
      </c>
      <c r="D16" s="10" t="n">
        <v>0.5416666666666666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12" t="inlineStr">
        <is>
          <t>FALTA</t>
        </is>
      </c>
    </row>
    <row r="18">
      <c r="A18" s="9" t="n">
        <v>15</v>
      </c>
      <c r="B18" s="10" t="n">
        <v>0.3125</v>
      </c>
      <c r="C18" s="10" t="n">
        <v>0.5111111111111111</v>
      </c>
      <c r="D18" s="10" t="n">
        <v>0.5416666666666666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0.3173611111111111</v>
      </c>
      <c r="C19" s="10" t="n">
        <v>0.4868055555555555</v>
      </c>
      <c r="D19" s="10" t="n">
        <v>0.5208333333333334</v>
      </c>
      <c r="E19" s="11" t="n">
        <v>0.7423611111111111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0.3145833333333333</v>
      </c>
      <c r="C20" s="10" t="n">
        <v>0.5083333333333333</v>
      </c>
      <c r="D20" s="10" t="n">
        <v>0.5416666666666666</v>
      </c>
      <c r="E20" s="11" t="n">
        <v>0.7423611111111111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0.3131944444444444</v>
      </c>
      <c r="C23" s="10" t="n">
        <v>0.4861111111111111</v>
      </c>
      <c r="D23" s="10" t="n">
        <v>0.5416666666666666</v>
      </c>
      <c r="E23" s="11" t="n">
        <v>0.74375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 xml:space="preserve">FERIADO </t>
        </is>
      </c>
    </row>
    <row r="25">
      <c r="A25" s="9" t="n">
        <v>22</v>
      </c>
      <c r="B25" s="10" t="n">
        <v>0.3201388888888889</v>
      </c>
      <c r="C25" s="10" t="n">
        <v>0.4875</v>
      </c>
      <c r="D25" s="10" t="n">
        <v>0.5208333333333334</v>
      </c>
      <c r="E25" s="11" t="n">
        <v>0.7416666666666667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0.4868055555555555</v>
      </c>
      <c r="D26" s="10" t="n">
        <v>0.5423611111111111</v>
      </c>
      <c r="E26" s="11" t="n">
        <v>0.74375</v>
      </c>
      <c r="F26" s="11">
        <f>IF((C26-B26)+(E26-D26)=0,0,((C26-B26)+(E26-D26))-$K$5)</f>
        <v/>
      </c>
      <c r="G26" s="10" t="n">
        <v>0</v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0.4881944444444444</v>
      </c>
      <c r="D27" s="10" t="n">
        <v>0.54375</v>
      </c>
      <c r="E27" s="11" t="n">
        <v>0.6319444444444444</v>
      </c>
      <c r="F27" s="11">
        <f>IF((C27-B27)+(E27-D27)=0,0,((C27-B27)+(E27-D27))-$K$5)</f>
        <v/>
      </c>
      <c r="G27" s="10" t="n">
        <v>0</v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12" t="inlineStr">
        <is>
          <t>FALTA</t>
        </is>
      </c>
    </row>
    <row r="31">
      <c r="A31" s="9" t="n">
        <v>28</v>
      </c>
      <c r="B31" s="10" t="n"/>
      <c r="C31" s="10" t="n"/>
      <c r="D31" s="10" t="n">
        <v>0.5416666666666666</v>
      </c>
      <c r="E31" s="11" t="n">
        <v>0.7541666666666667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0.4881944444444444</v>
      </c>
      <c r="D32" s="10" t="n">
        <v>0.5423611111111111</v>
      </c>
      <c r="E32" s="11" t="n">
        <v>0.7430555555555556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0.3138888888888889</v>
      </c>
      <c r="C33" s="10" t="n">
        <v>0.4875</v>
      </c>
      <c r="D33" s="10" t="n">
        <v>0.5416666666666666</v>
      </c>
      <c r="E33" s="11" t="n">
        <v>0.7444444444444445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9">
        <f>N39-L39</f>
        <v/>
      </c>
    </row>
    <row r="38">
      <c r="B38" s="15" t="n"/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B16" workbookViewId="0">
      <selection activeCell="J18" sqref="J1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0.3138888888888889</v>
      </c>
      <c r="C4" s="10" t="n">
        <v>0.4895833333333333</v>
      </c>
      <c r="D4" s="10" t="n">
        <v>0.5416666666666666</v>
      </c>
      <c r="E4" s="11" t="n">
        <v>0.7465277777777778</v>
      </c>
      <c r="F4" s="11">
        <f>IF((C4-B4)+(E4-D4)=0,0,((C4-B4)+(E4-D4))-$K$5)</f>
        <v/>
      </c>
      <c r="G4" s="10" t="n">
        <v>0</v>
      </c>
      <c r="H4" s="44">
        <f>IF((F4-$K$3)&gt;$K$4,ABS(F4-$K$3),0)</f>
        <v/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0.4868055555555555</v>
      </c>
      <c r="D5" s="10" t="n">
        <v>0.5416666666666666</v>
      </c>
      <c r="E5" s="11" t="n">
        <v>0.75625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 xml:space="preserve">FERIADO 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0.4881944444444444</v>
      </c>
      <c r="D9" s="10" t="n">
        <v>0.5416666666666666</v>
      </c>
      <c r="E9" s="11" t="n">
        <v>0.7444444444444445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0.3125</v>
      </c>
      <c r="C10" s="10" t="n">
        <v>0.4902777777777778</v>
      </c>
      <c r="D10" s="10" t="n">
        <v>0.5416666666666666</v>
      </c>
      <c r="E10" s="11" t="n">
        <v>0.7458333333333333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0.3118055555555556</v>
      </c>
      <c r="C11" s="10" t="n">
        <v>0.4881944444444444</v>
      </c>
      <c r="D11" s="10" t="n">
        <v>0.5416666666666666</v>
      </c>
      <c r="E11" s="11" t="n">
        <v>0.7486111111111111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0.3125</v>
      </c>
      <c r="C12" s="10" t="n">
        <v>0.4875</v>
      </c>
      <c r="D12" s="10" t="n">
        <v>0.5416666666666666</v>
      </c>
      <c r="E12" s="11" t="n">
        <v>0.7458333333333333</v>
      </c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>
        <v>0.3125</v>
      </c>
      <c r="C13" s="10" t="n">
        <v>0.4868055555555555</v>
      </c>
      <c r="D13" s="10" t="n">
        <v>0.5416666666666666</v>
      </c>
      <c r="E13" s="11" t="n">
        <v>0.7569444444444444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0.2777777777777778</v>
      </c>
      <c r="C16" s="10" t="n">
        <v>0.4875</v>
      </c>
      <c r="D16" s="10" t="n">
        <v>0.5416666666666666</v>
      </c>
      <c r="E16" s="11" t="n">
        <v>0.7506944444444444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0.3125</v>
      </c>
      <c r="C17" s="10" t="n">
        <v>0.4875</v>
      </c>
      <c r="D17" s="10" t="n">
        <v>0.5416666666666666</v>
      </c>
      <c r="E17" s="11" t="n">
        <v>0.74375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0.4923611111111111</v>
      </c>
      <c r="D18" s="10" t="n">
        <v>0.5416666666666666</v>
      </c>
      <c r="E18" s="11" t="n">
        <v>0.7486111111111111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0.3131944444444444</v>
      </c>
      <c r="C19" s="10" t="n">
        <v>0.4930555555555556</v>
      </c>
      <c r="D19" s="10" t="n">
        <v>0.5486111111111112</v>
      </c>
      <c r="E19" s="11" t="n">
        <v>0.7534722222222222</v>
      </c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>
        <v>0.3125</v>
      </c>
      <c r="C20" s="10" t="n">
        <v>0.5277777777777778</v>
      </c>
      <c r="D20" s="10" t="n">
        <v>0.5833333333333334</v>
      </c>
      <c r="E20" s="11" t="n">
        <v>0.7777777777777778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0.4875</v>
      </c>
      <c r="D23" s="10" t="n">
        <v>0.5416666666666666</v>
      </c>
      <c r="E23" s="11" t="n">
        <v>0.7618055555555555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 xml:space="preserve">FERIADO </t>
        </is>
      </c>
    </row>
    <row r="25">
      <c r="A25" s="9" t="n">
        <v>22</v>
      </c>
      <c r="B25" s="10" t="n">
        <v>0.3125</v>
      </c>
      <c r="C25" s="10" t="n">
        <v>0.4881944444444444</v>
      </c>
      <c r="D25" s="10" t="n">
        <v>0.5416666666666666</v>
      </c>
      <c r="E25" s="11" t="n">
        <v>0.7465277777777778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0.3131944444444444</v>
      </c>
      <c r="C26" s="10" t="n">
        <v>0.4868055555555555</v>
      </c>
      <c r="D26" s="10" t="n">
        <v>0.5423611111111111</v>
      </c>
      <c r="E26" s="11" t="n">
        <v>0.8055555555555556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0.2833333333333333</v>
      </c>
      <c r="C27" s="10" t="n">
        <v>0.4909722222222222</v>
      </c>
      <c r="D27" s="10" t="n">
        <v>0.5416666666666666</v>
      </c>
      <c r="E27" s="11" t="n">
        <v>0.7569444444444444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0.4909722222222222</v>
      </c>
      <c r="D30" s="10" t="n">
        <v>0.5423611111111111</v>
      </c>
      <c r="E30" s="11" t="n">
        <v>0.7625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0.3131944444444444</v>
      </c>
      <c r="C31" s="10" t="n">
        <v>0.4888888888888889</v>
      </c>
      <c r="D31" s="10" t="n">
        <v>0.5423611111111111</v>
      </c>
      <c r="E31" s="11" t="n">
        <v>0.7486111111111111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0.4888888888888889</v>
      </c>
      <c r="D32" s="10" t="n">
        <v>0.5416666666666666</v>
      </c>
      <c r="E32" s="11" t="n">
        <v>0.7486111111111111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0.4881944444444444</v>
      </c>
      <c r="D33" s="10" t="n">
        <v>0.5409722222222222</v>
      </c>
      <c r="E33" s="11" t="n">
        <v>0.7416666666666667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0.2722222222222222</v>
      </c>
      <c r="N35" s="38">
        <f>G35</f>
        <v/>
      </c>
    </row>
    <row r="36" ht="15.75" customHeight="1" s="45" thickBot="1">
      <c r="G36" s="75">
        <f>H35-G35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L39-N35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O37" sqref="O37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4.710937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0.3125</v>
      </c>
      <c r="C4" s="10" t="n">
        <v>0.5694444444444444</v>
      </c>
      <c r="D4" s="10" t="n">
        <v>0.60625</v>
      </c>
      <c r="E4" s="11" t="n">
        <v>0.7548611111111111</v>
      </c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0.3131944444444444</v>
      </c>
      <c r="C5" s="10" t="n">
        <v>0.55625</v>
      </c>
      <c r="D5" s="10" t="n">
        <v>0.6201388888888889</v>
      </c>
      <c r="E5" s="11" t="n">
        <v>0.75625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>FERIADO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0.3104166666666667</v>
      </c>
      <c r="C9" s="10" t="n">
        <v>0.575</v>
      </c>
      <c r="D9" s="10" t="n">
        <v>0.6270833333333333</v>
      </c>
      <c r="E9" s="11" t="n">
        <v>0.7666666666666667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0.3388888888888889</v>
      </c>
      <c r="C10" s="10" t="n">
        <v>0.5520833333333334</v>
      </c>
      <c r="D10" s="10" t="n">
        <v>0.6125</v>
      </c>
      <c r="E10" s="11" t="n">
        <v>0.7736111111111111</v>
      </c>
      <c r="F10" s="11">
        <f>IF((C10-B10)+(E10-D10)=0,0,((C10-B10)+(E10-D10))-$K$5)</f>
        <v/>
      </c>
      <c r="G10" s="10" t="n">
        <v>0</v>
      </c>
      <c r="H10" s="10">
        <f>IF((F10-$K$3)&gt;$K$4,ABS(F10-$K$3),0)</f>
        <v/>
      </c>
    </row>
    <row r="11">
      <c r="A11" s="9" t="n">
        <v>8</v>
      </c>
      <c r="B11" s="10" t="n">
        <v>0.3159722222222222</v>
      </c>
      <c r="C11" s="10" t="n">
        <v>0.60625</v>
      </c>
      <c r="D11" s="10" t="n">
        <v>0.6625</v>
      </c>
      <c r="E11" s="11" t="n">
        <v>0.7506944444444444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>
        <v>0.3131944444444444</v>
      </c>
      <c r="C12" s="10" t="n">
        <v>0.5659722222222222</v>
      </c>
      <c r="D12" s="10" t="n">
        <v>0.6270833333333333</v>
      </c>
      <c r="E12" s="11" t="n">
        <v>0.74375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>
        <v>0.3069444444444445</v>
      </c>
      <c r="C13" s="10" t="n">
        <v>0.5659722222222222</v>
      </c>
      <c r="D13" s="10" t="n">
        <v>0.6263888888888889</v>
      </c>
      <c r="E13" s="11" t="n">
        <v>0.74375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0.3097222222222222</v>
      </c>
      <c r="C16" s="10" t="n">
        <v>0.5791666666666667</v>
      </c>
      <c r="D16" s="10" t="n">
        <v>0.6458333333333334</v>
      </c>
      <c r="E16" s="11" t="n">
        <v>0.7805555555555556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0.3145833333333333</v>
      </c>
      <c r="C17" s="10" t="n">
        <v>0.5798611111111112</v>
      </c>
      <c r="D17" s="10" t="n">
        <v>0.6305555555555555</v>
      </c>
      <c r="E17" s="11" t="n">
        <v>0.7527777777777778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0.3284722222222222</v>
      </c>
      <c r="C18" s="10" t="n">
        <v>0.5965277777777778</v>
      </c>
      <c r="D18" s="10" t="n">
        <v>0.6555555555555556</v>
      </c>
      <c r="E18" s="11" t="n">
        <v>0.7513888888888889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0.3111111111111111</v>
      </c>
      <c r="C19" s="10" t="n">
        <v>0.5444444444444444</v>
      </c>
      <c r="D19" s="10" t="n">
        <v>0.6118055555555556</v>
      </c>
      <c r="E19" s="11" t="n">
        <v>0.7076388888888889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0.3666666666666666</v>
      </c>
      <c r="H20" s="10">
        <f>IF((F20-$K$3)&gt;$K$4,ABS(F20-$K$3),0)</f>
        <v/>
      </c>
      <c r="I20" s="48" t="inlineStr">
        <is>
          <t>BH</t>
        </is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 t="n">
        <v>0.03333333333333333</v>
      </c>
      <c r="H23" s="10">
        <f>IF((F23-$K$3)&gt;$K$4,ABS(F23-$K$3),0)</f>
        <v/>
      </c>
      <c r="I23" s="35" t="inlineStr">
        <is>
          <t>LC CASAMENTO</t>
        </is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 xml:space="preserve">FERIADO </t>
        </is>
      </c>
    </row>
    <row r="25">
      <c r="A25" s="9" t="n">
        <v>22</v>
      </c>
      <c r="B25" s="10" t="n">
        <v>0.3215277777777778</v>
      </c>
      <c r="C25" s="10" t="n">
        <v>0.5423611111111111</v>
      </c>
      <c r="D25" s="10" t="n">
        <v>0.6090277777777777</v>
      </c>
      <c r="E25" s="11" t="n">
        <v>0.7604166666666666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0.3166666666666667</v>
      </c>
      <c r="C26" s="10" t="n">
        <v>0.5680555555555555</v>
      </c>
      <c r="D26" s="10" t="n">
        <v>0.63125</v>
      </c>
      <c r="E26" s="11" t="n">
        <v>0.7611111111111111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0.3111111111111111</v>
      </c>
      <c r="C27" s="10" t="n">
        <v>0.5659722222222222</v>
      </c>
      <c r="D27" s="10" t="n">
        <v>0.6277777777777778</v>
      </c>
      <c r="E27" s="11" t="n">
        <v>0.7583333333333333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0.3138888888888889</v>
      </c>
      <c r="C30" s="10" t="n">
        <v>0.5486111111111112</v>
      </c>
      <c r="D30" s="10" t="n">
        <v>0.6298611111111111</v>
      </c>
      <c r="E30" s="11" t="n">
        <v>0.7597222222222222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0.3180555555555555</v>
      </c>
      <c r="C31" s="10" t="n"/>
      <c r="D31" s="10" t="n"/>
      <c r="E31" s="11" t="n">
        <v>0.7534722222222222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0.3145833333333333</v>
      </c>
      <c r="C32" s="10" t="n">
        <v>0.5506944444444445</v>
      </c>
      <c r="D32" s="10" t="n">
        <v>0.5930555555555556</v>
      </c>
      <c r="E32" s="11" t="n">
        <v>0.7527777777777778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0.3159722222222222</v>
      </c>
      <c r="C33" s="10" t="n">
        <v>0.5881944444444445</v>
      </c>
      <c r="D33" s="10" t="n">
        <v>0.6465277777777778</v>
      </c>
      <c r="E33" s="11" t="n">
        <v>0.75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0.4083333333333333</v>
      </c>
      <c r="N35" s="25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1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6" workbookViewId="0">
      <selection activeCell="G36" sqref="G36:H3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0.3111111111111111</v>
      </c>
      <c r="C4" s="10" t="n">
        <v>0.5631944444444444</v>
      </c>
      <c r="D4" s="10" t="n">
        <v>0.6263888888888889</v>
      </c>
      <c r="E4" s="11" t="n">
        <v>0.7381944444444445</v>
      </c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0.3152777777777778</v>
      </c>
      <c r="C5" s="10" t="n"/>
      <c r="D5" s="10" t="n"/>
      <c r="E5" s="11" t="n">
        <v>0.5097222222222222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35" t="inlineStr">
        <is>
          <t xml:space="preserve">FERIADO 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 t="n">
        <v>0.03333333333333333</v>
      </c>
      <c r="H9" s="10">
        <f>IF((F9-$K$3)&gt;$K$4,ABS(F9-$K$3),0)</f>
        <v/>
      </c>
      <c r="I9" s="47" t="inlineStr">
        <is>
          <t>ATESTADO</t>
        </is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47" t="inlineStr">
        <is>
          <t>ATESTADO</t>
        </is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12" t="inlineStr">
        <is>
          <t>FALTA</t>
        </is>
      </c>
    </row>
    <row r="12">
      <c r="A12" s="9" t="n">
        <v>9</v>
      </c>
      <c r="B12" s="10" t="n">
        <v>0.3125</v>
      </c>
      <c r="C12" s="10" t="n">
        <v>0.6048611111111111</v>
      </c>
      <c r="D12" s="10" t="n">
        <v>0.66875</v>
      </c>
      <c r="E12" s="11" t="n">
        <v>0.7680555555555556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0.3173611111111111</v>
      </c>
      <c r="C16" s="10" t="n">
        <v>0.5631944444444444</v>
      </c>
      <c r="D16" s="10" t="n">
        <v>0.6208333333333333</v>
      </c>
      <c r="E16" s="11" t="n">
        <v>0.7833333333333333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0.3118055555555556</v>
      </c>
      <c r="C17" s="10" t="n">
        <v>0.5625</v>
      </c>
      <c r="D17" s="10" t="n">
        <v>0.6298611111111111</v>
      </c>
      <c r="E17" s="11" t="n">
        <v>0.7166666666666667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0.6027777777777777</v>
      </c>
      <c r="D18" s="10" t="n">
        <v>0.6555555555555556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0.03333333333333333</v>
      </c>
      <c r="H19" s="10">
        <f>IF((F19-$K$3)&gt;$K$4,ABS(F19-$K$3),0)</f>
        <v/>
      </c>
      <c r="I19" s="47" t="inlineStr">
        <is>
          <t>ATESTADO</t>
        </is>
      </c>
    </row>
    <row r="20">
      <c r="A20" s="9" t="n">
        <v>17</v>
      </c>
      <c r="B20" s="10" t="n">
        <v>0.3125</v>
      </c>
      <c r="C20" s="10" t="n">
        <v>0.5840277777777778</v>
      </c>
      <c r="D20" s="10" t="n">
        <v>0.65625</v>
      </c>
      <c r="E20" s="11" t="n">
        <v>0.7604166666666666</v>
      </c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0.3236111111111111</v>
      </c>
      <c r="C23" s="10" t="n">
        <v>0.6041666666666666</v>
      </c>
      <c r="D23" s="10" t="n">
        <v>0.6666666666666666</v>
      </c>
      <c r="E23" s="11" t="n">
        <v>0.75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35" t="inlineStr">
        <is>
          <t xml:space="preserve">FERIADO </t>
        </is>
      </c>
    </row>
    <row r="25">
      <c r="A25" s="9" t="n">
        <v>22</v>
      </c>
      <c r="B25" s="10" t="n">
        <v>0.3152777777777778</v>
      </c>
      <c r="C25" s="10" t="n">
        <v>0.5458333333333333</v>
      </c>
      <c r="D25" s="10" t="n">
        <v>0.6076388888888888</v>
      </c>
      <c r="E25" s="11" t="n">
        <v>0.7451388888888889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0.5722222222222222</v>
      </c>
      <c r="D26" s="10" t="n">
        <v>0.6375</v>
      </c>
      <c r="E26" s="11" t="n">
        <v>0.7541666666666667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0.5944444444444444</v>
      </c>
      <c r="D27" s="10" t="n">
        <v>0.6583333333333333</v>
      </c>
      <c r="E27" s="11" t="n">
        <v>0.7423611111111111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0.3083333333333333</v>
      </c>
      <c r="C30" s="10" t="n">
        <v>0.5680555555555555</v>
      </c>
      <c r="D30" s="10" t="n">
        <v>0.6298611111111111</v>
      </c>
      <c r="E30" s="11" t="n">
        <v>0.7590277777777777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0.3027777777777778</v>
      </c>
      <c r="C31" s="10" t="n"/>
      <c r="D31" s="10" t="n"/>
      <c r="E31" s="11" t="n">
        <v>0.7645833333333333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0.325</v>
      </c>
      <c r="C32" s="10" t="n">
        <v>0.64375</v>
      </c>
      <c r="D32" s="10" t="n">
        <v>0.6548611111111111</v>
      </c>
      <c r="E32" s="11" t="n">
        <v>0.7541666666666667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0.3131944444444444</v>
      </c>
      <c r="C33" s="10" t="n">
        <v>0.5895833333333333</v>
      </c>
      <c r="D33" s="10" t="n">
        <v>0.6493055555555556</v>
      </c>
      <c r="E33" s="11" t="n">
        <v>0.7611111111111111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0.4805555555555556</v>
      </c>
      <c r="N35" s="25">
        <f>G35</f>
        <v/>
      </c>
    </row>
    <row r="36" ht="15.75" customHeight="1" s="45" thickBot="1">
      <c r="G36" s="79">
        <f>G35-H35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L39-N39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4" operator="greaterThan" dxfId="4">
      <formula>0.31875</formula>
    </cfRule>
  </conditionalFormatting>
  <conditionalFormatting sqref="B4:D34">
    <cfRule type="cellIs" priority="2" operator="lessThan" dxfId="6">
      <formula>0.319444444444444</formula>
    </cfRule>
    <cfRule type="cellIs" priority="3" operator="greaterThan" dxfId="4">
      <formula>0.31875</formula>
    </cfRule>
  </conditionalFormatting>
  <conditionalFormatting sqref="E4:F34">
    <cfRule type="cellIs" priority="1" operator="greaterThan" dxfId="4">
      <formula>0.741666666666667</formula>
    </cfRule>
  </conditionalFormatting>
  <pageMargins left="0.511811024" right="0.511811024" top="0.787401575" bottom="0.787401575" header="0.31496062" footer="0.31496062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N13" sqref="N13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O37" sqref="O37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0.3145833333333333</v>
      </c>
      <c r="C7" s="10" t="n">
        <v>0.5666666666666667</v>
      </c>
      <c r="D7" s="10" t="n">
        <v>0.63125</v>
      </c>
      <c r="E7" s="11" t="n">
        <v>0.7388888888888889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0.5423611111111111</v>
      </c>
      <c r="D8" s="10" t="n">
        <v>0.6055555555555555</v>
      </c>
      <c r="E8" s="11" t="n">
        <v>0.7513888888888889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0.5777777777777777</v>
      </c>
      <c r="D9" s="10" t="n">
        <v>0.6256944444444444</v>
      </c>
      <c r="E9" s="11" t="n">
        <v>0.7590277777777777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0.3166666666666667</v>
      </c>
      <c r="C10" s="10" t="n">
        <v>0.5833333333333334</v>
      </c>
      <c r="D10" s="10" t="n">
        <v>0.6458333333333334</v>
      </c>
      <c r="E10" s="11" t="n">
        <v>0.74375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0.3166666666666667</v>
      </c>
      <c r="C11" s="10" t="n">
        <v>0.6118055555555556</v>
      </c>
      <c r="D11" s="10" t="n">
        <v>0.675</v>
      </c>
      <c r="E11" s="11" t="n">
        <v>0.7465277777777778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>
        <v>0.3166666666666667</v>
      </c>
      <c r="C15" s="10" t="n"/>
      <c r="D15" s="10" t="n"/>
      <c r="E15" s="11" t="n">
        <v>0.7472222222222222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t="n"/>
    </row>
    <row r="16">
      <c r="A16" s="9" t="n">
        <v>13</v>
      </c>
      <c r="B16" s="10" t="n">
        <v>0.3152777777777778</v>
      </c>
      <c r="C16" s="10" t="n">
        <v>0.5840277777777778</v>
      </c>
      <c r="D16" s="10" t="n">
        <v>0.6465277777777778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0.3104166666666667</v>
      </c>
      <c r="C17" s="10" t="n">
        <v>0.5597222222222222</v>
      </c>
      <c r="D17" s="10" t="n">
        <v>0.6263888888888889</v>
      </c>
      <c r="E17" s="11" t="n">
        <v>0.74375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0.3111111111111111</v>
      </c>
      <c r="C18" s="10" t="n">
        <v>0.5791666666666667</v>
      </c>
      <c r="D18" s="10" t="n">
        <v>0.6430555555555556</v>
      </c>
      <c r="E18" s="11" t="n">
        <v>0.7326388888888888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 t="n">
        <v>0.03333333333333333</v>
      </c>
      <c r="H21" s="10">
        <f>IF((F21-$K$3)&gt;$K$4,ABS(F21-$K$3),0)</f>
        <v/>
      </c>
      <c r="I21" s="50" t="inlineStr">
        <is>
          <t>FALTA</t>
        </is>
      </c>
      <c r="J21" s="61" t="inlineStr">
        <is>
          <t>ATESTADO</t>
        </is>
      </c>
    </row>
    <row r="22">
      <c r="A22" s="9" t="n">
        <v>19</v>
      </c>
      <c r="B22" s="10" t="n">
        <v>0.3131944444444444</v>
      </c>
      <c r="C22" s="10" t="n">
        <v>0.5430555555555555</v>
      </c>
      <c r="D22" s="10" t="n">
        <v>0.55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0.3118055555555556</v>
      </c>
      <c r="C23" s="10" t="n">
        <v>0.5618055555555556</v>
      </c>
      <c r="D23" s="10" t="n">
        <v>0.6194444444444445</v>
      </c>
      <c r="E23" s="11" t="n">
        <v>0.7534722222222222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0.3111111111111111</v>
      </c>
      <c r="C24" s="10" t="n">
        <v>0.5854166666666667</v>
      </c>
      <c r="D24" s="10" t="n">
        <v>0.6493055555555556</v>
      </c>
      <c r="E24" s="11" t="n">
        <v>0.7625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0.2916666666666667</v>
      </c>
      <c r="C25" s="10" t="n">
        <v>0.5430555555555555</v>
      </c>
      <c r="D25" s="10" t="n">
        <v>0.55</v>
      </c>
      <c r="E25" s="11" t="n">
        <v>0.7416666666666667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0.03333333333333333</v>
      </c>
      <c r="H28" s="10">
        <f>IF((F28-$K$3)&gt;$K$4,ABS(F28-$K$3),0)</f>
        <v/>
      </c>
      <c r="I28" s="51" t="inlineStr">
        <is>
          <t>FALTA</t>
        </is>
      </c>
    </row>
    <row r="29">
      <c r="A29" s="9" t="n">
        <v>26</v>
      </c>
      <c r="B29" s="10" t="n">
        <v>0.3208333333333334</v>
      </c>
      <c r="C29" s="10" t="n">
        <v>0.5166666666666667</v>
      </c>
      <c r="D29" s="10" t="n">
        <v>0.5791666666666667</v>
      </c>
      <c r="E29" s="11" t="n">
        <v>0.7083333333333334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0.3138888888888889</v>
      </c>
      <c r="C30" s="10" t="n">
        <v>0.5861111111111111</v>
      </c>
      <c r="D30" s="10" t="n">
        <v>0.6506944444444445</v>
      </c>
      <c r="E30" s="11" t="n">
        <v>0.7506944444444444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0.2916666666666667</v>
      </c>
      <c r="C31" s="10" t="n">
        <v>0.5493055555555556</v>
      </c>
      <c r="D31" s="10" t="n">
        <v>0.5597222222222222</v>
      </c>
      <c r="E31" s="11" t="n">
        <v>0.7083333333333334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0.3138888888888889</v>
      </c>
      <c r="C32" s="10" t="n">
        <v>0.5645833333333333</v>
      </c>
      <c r="D32" s="10" t="n">
        <v>0.5833333333333334</v>
      </c>
      <c r="E32" s="11" t="n">
        <v>0.7555555555555555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0.3965277777777778</v>
      </c>
      <c r="N35" s="25">
        <f>G35</f>
        <v/>
      </c>
    </row>
    <row r="36" ht="15.75" customHeight="1" s="45" thickBot="1">
      <c r="G36" s="79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2" dxfId="2">
      <formula>$G$35&lt;$H$35</formula>
    </cfRule>
    <cfRule type="expression" priority="1" dxfId="3">
      <formula>$H$35&gt;$G$35</formula>
    </cfRule>
  </conditionalFormatting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E41" sqref="E41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0.140625" customWidth="1" style="4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6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</v>
      </c>
      <c r="H4" s="10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0.3145833333333333</v>
      </c>
      <c r="C7" s="10" t="n">
        <v>0.5645833333333333</v>
      </c>
      <c r="D7" s="10" t="n">
        <v>0.6347222222222222</v>
      </c>
      <c r="E7" s="11" t="n">
        <v>0.7631944444444444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0.5680555555555555</v>
      </c>
      <c r="D8" s="10" t="n">
        <v>0.6166666666666667</v>
      </c>
      <c r="E8" s="11" t="n">
        <v>0.7569444444444444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0.325</v>
      </c>
      <c r="C9" s="10" t="n">
        <v>0.5548611111111111</v>
      </c>
      <c r="D9" s="10" t="n">
        <v>0.6166666666666667</v>
      </c>
      <c r="E9" s="11" t="n">
        <v>0.7534722222222222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0.3118055555555556</v>
      </c>
      <c r="C10" s="10" t="n">
        <v>0.5798611111111112</v>
      </c>
      <c r="D10" s="10" t="n">
        <v>0.64375</v>
      </c>
      <c r="E10" s="11" t="n">
        <v>0.7618055555555555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0.3166666666666667</v>
      </c>
      <c r="C11" s="10" t="n">
        <v>0.5868055555555556</v>
      </c>
      <c r="D11" s="10" t="n">
        <v>0.6527777777777778</v>
      </c>
      <c r="E11" s="11" t="n">
        <v>0.7548611111111111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>
        <v>0.3125</v>
      </c>
      <c r="C15" s="10" t="n">
        <v>0.5763888888888888</v>
      </c>
      <c r="D15" s="10" t="n">
        <v>0.6395833333333333</v>
      </c>
      <c r="E15" s="11" t="n">
        <v>0.7513888888888889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0.3138888888888889</v>
      </c>
      <c r="C16" s="10" t="n">
        <v>0.5875</v>
      </c>
      <c r="D16" s="10" t="n">
        <v>0.6638888888888889</v>
      </c>
      <c r="E16" s="11" t="n">
        <v>0.7631944444444444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0.31875</v>
      </c>
      <c r="C17" s="10" t="n">
        <v>0.6006944444444444</v>
      </c>
      <c r="D17" s="10" t="n">
        <v>0.6520833333333333</v>
      </c>
      <c r="E17" s="11" t="n">
        <v>0.7472222222222222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0.3138888888888889</v>
      </c>
      <c r="C18" s="10" t="n">
        <v>0.5673611111111111</v>
      </c>
      <c r="D18" s="10" t="n">
        <v>0.6215277777777778</v>
      </c>
      <c r="E18" s="11" t="n">
        <v>0.7763888888888889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0.3847222222222222</v>
      </c>
      <c r="C21" s="10" t="n">
        <v>0.5583333333333333</v>
      </c>
      <c r="D21" s="10" t="n">
        <v>0.6152777777777778</v>
      </c>
      <c r="E21" s="11" t="n">
        <v>0.7548611111111111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0.5993055555555555</v>
      </c>
      <c r="D22" s="10" t="n">
        <v>0.6597222222222222</v>
      </c>
      <c r="E22" s="11" t="n">
        <v>0.7548611111111111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0.3145833333333333</v>
      </c>
      <c r="C23" s="10" t="n">
        <v>0.61875</v>
      </c>
      <c r="D23" s="10" t="n">
        <v>0.6840277777777778</v>
      </c>
      <c r="E23" s="11" t="n">
        <v>0.7611111111111111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0.3159722222222222</v>
      </c>
      <c r="C24" s="10" t="n">
        <v>0.5965277777777778</v>
      </c>
      <c r="D24" s="10" t="n">
        <v>0.6659722222222222</v>
      </c>
      <c r="E24" s="11" t="n">
        <v>0.7576388888888889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0.3152777777777778</v>
      </c>
      <c r="C25" s="10" t="n">
        <v>0.5486111111111112</v>
      </c>
      <c r="D25" s="10" t="n">
        <v>0.6111111111111112</v>
      </c>
      <c r="E25" s="11" t="n">
        <v>0.7583333333333333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0.3145833333333333</v>
      </c>
      <c r="C28" s="10" t="n">
        <v>0.5694444444444444</v>
      </c>
      <c r="D28" s="10" t="n">
        <v>0.6354166666666666</v>
      </c>
      <c r="E28" s="11" t="n">
        <v>0.75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0.3215277777777778</v>
      </c>
      <c r="C29" s="10" t="n">
        <v>0.5930555555555556</v>
      </c>
      <c r="D29" s="10" t="n">
        <v>0.6520833333333333</v>
      </c>
      <c r="E29" s="11" t="n">
        <v>0.75625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0.6</v>
      </c>
      <c r="D30" s="10" t="n">
        <v>0.6548611111111111</v>
      </c>
      <c r="E30" s="11" t="n">
        <v>0.7479166666666667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0.31875</v>
      </c>
      <c r="C31" s="10" t="n">
        <v>0.5791666666666667</v>
      </c>
      <c r="D31" s="10" t="n">
        <v>0.6430555555555556</v>
      </c>
      <c r="E31" s="11" t="n">
        <v>0.7576388888888889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0.3263888888888889</v>
      </c>
      <c r="C32" s="10" t="n">
        <v>0.6166666666666667</v>
      </c>
      <c r="D32" s="10" t="n">
        <v>0.6770833333333334</v>
      </c>
      <c r="E32" s="11" t="n">
        <v>0.75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0.2243055555555556</v>
      </c>
      <c r="N35" s="25">
        <f>G35</f>
        <v/>
      </c>
    </row>
    <row r="36" ht="15.75" customHeight="1" s="45" thickBot="1">
      <c r="G36" s="79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L35+H35</f>
        <v/>
      </c>
      <c r="M39" s="32" t="n"/>
      <c r="N39" s="33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2" dxfId="2">
      <formula>$G$35&gt;$H$35</formula>
    </cfRule>
    <cfRule type="expression" priority="1" dxfId="3">
      <formula>$H$35&gt;$G$35</formula>
    </cfRule>
  </conditionalFormatting>
  <pageMargins left="0.511811024" right="0.511811024" top="0.787401575" bottom="0.787401575" header="0.31496062" footer="0.31496062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F40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44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0.4881944444444444</v>
      </c>
      <c r="D7" s="10" t="n">
        <v>0.5416666666666666</v>
      </c>
      <c r="E7" s="11" t="n">
        <v>0.7451388888888889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0.3125</v>
      </c>
      <c r="C8" s="10" t="n">
        <v>0.49375</v>
      </c>
      <c r="D8" s="10" t="n">
        <v>0.5416666666666666</v>
      </c>
      <c r="E8" s="11" t="n">
        <v>0.7548611111111111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0.5152777777777777</v>
      </c>
      <c r="D9" s="10" t="n">
        <v>0.5423611111111111</v>
      </c>
      <c r="E9" s="11" t="n">
        <v>0.7583333333333333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0.3125</v>
      </c>
      <c r="C10" s="10" t="n">
        <v>0.4881944444444444</v>
      </c>
      <c r="D10" s="10" t="n">
        <v>0.5416666666666666</v>
      </c>
      <c r="E10" s="11" t="n">
        <v>0.7465277777777778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0.4895833333333333</v>
      </c>
      <c r="D11" s="10" t="n">
        <v>0.5416666666666666</v>
      </c>
      <c r="E11" s="11" t="n">
        <v>0.7597222222222222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>
        <v>0.2965277777777778</v>
      </c>
      <c r="C15" s="10" t="n">
        <v>0.4916666666666666</v>
      </c>
      <c r="D15" s="10" t="n">
        <v>0.5416666666666666</v>
      </c>
      <c r="E15" s="11" t="n">
        <v>0.75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0.4888888888888889</v>
      </c>
      <c r="D16" s="10" t="n">
        <v>0.5416666666666666</v>
      </c>
      <c r="E16" s="11" t="n">
        <v>0.7569444444444444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0.3125</v>
      </c>
      <c r="C17" s="10" t="n">
        <v>0.4868055555555555</v>
      </c>
      <c r="D17" s="10" t="n">
        <v>0.5423611111111111</v>
      </c>
      <c r="E17" s="11" t="n">
        <v>0.7645833333333333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0.4881944444444444</v>
      </c>
      <c r="D18" s="10" t="n">
        <v>0.5416666666666666</v>
      </c>
      <c r="E18" s="11" t="n">
        <v>0.7708333333333334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0.3125</v>
      </c>
      <c r="C21" s="10" t="n">
        <v>0.4909722222222222</v>
      </c>
      <c r="D21" s="10" t="n">
        <v>0.5416666666666666</v>
      </c>
      <c r="E21" s="11" t="n">
        <v>0.7527777777777778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0.4875</v>
      </c>
      <c r="D22" s="10" t="n">
        <v>0.5416666666666666</v>
      </c>
      <c r="E22" s="11" t="n">
        <v>0.7631944444444444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0.49375</v>
      </c>
      <c r="D23" s="10" t="n">
        <v>0.5416666666666666</v>
      </c>
      <c r="E23" s="11" t="n">
        <v>0.7645833333333333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>
        <v>0.4861111111111111</v>
      </c>
      <c r="D24" s="10" t="n">
        <v>0.5416666666666666</v>
      </c>
      <c r="E24" s="11" t="n">
        <v>0.7763888888888889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0.3125</v>
      </c>
      <c r="C25" s="10" t="n">
        <v>0.4909722222222222</v>
      </c>
      <c r="D25" s="10" t="n">
        <v>0.5416666666666666</v>
      </c>
      <c r="E25" s="11" t="n">
        <v>0.7527777777777778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0.3111111111111111</v>
      </c>
      <c r="C28" s="10" t="n">
        <v>0.4888888888888889</v>
      </c>
      <c r="D28" s="10" t="n">
        <v>0.5416666666666666</v>
      </c>
      <c r="E28" s="11" t="n">
        <v>0.7520833333333333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0.4875</v>
      </c>
      <c r="D29" s="10" t="n">
        <v>0.5416666666666666</v>
      </c>
      <c r="E29" s="11" t="n">
        <v>0.7451388888888889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0.4909722222222222</v>
      </c>
      <c r="D30" s="10" t="n">
        <v>0.5416666666666666</v>
      </c>
      <c r="E30" s="11" t="n">
        <v>0.7472222222222222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0.3125</v>
      </c>
      <c r="C31" s="10" t="n">
        <v>0.4951388888888889</v>
      </c>
      <c r="D31" s="10" t="n">
        <v>0.5416666666666666</v>
      </c>
      <c r="E31" s="11" t="n">
        <v>0.75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0.4875</v>
      </c>
      <c r="D32" s="10" t="n">
        <v>0.5416666666666666</v>
      </c>
      <c r="E32" s="11" t="n">
        <v>0.7576388888888889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0.5513888888888889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2" dxfId="2">
      <formula>$G$35&gt;$H$35</formula>
    </cfRule>
    <cfRule type="expression" priority="1" dxfId="3">
      <formula>$H$35&gt;$G$35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0" workbookViewId="0">
      <selection activeCell="O37" sqref="O37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6.425781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44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I5" s="55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50" t="inlineStr">
        <is>
          <t>FALTA</t>
        </is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 t="n">
        <v>0.03333333333333333</v>
      </c>
      <c r="H8" s="10">
        <f>IF((F8-$K$3)&gt;$K$4,ABS(F8-$K$3),0)</f>
        <v/>
      </c>
      <c r="I8" s="51" t="inlineStr">
        <is>
          <t>FALTA</t>
        </is>
      </c>
      <c r="J8" s="61" t="inlineStr">
        <is>
          <t>ATESTADO</t>
        </is>
      </c>
    </row>
    <row r="9">
      <c r="A9" s="9" t="n">
        <v>6</v>
      </c>
      <c r="B9" s="10" t="n">
        <v>0.3125</v>
      </c>
      <c r="C9" s="10" t="n">
        <v>0.3611111111111111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0.3118055555555556</v>
      </c>
      <c r="C10" s="10" t="n">
        <v>0.4861111111111111</v>
      </c>
      <c r="D10" s="10" t="n">
        <v>0.5416666666666666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0.3166666666666667</v>
      </c>
      <c r="C11" s="10" t="n">
        <v>0.4777777777777778</v>
      </c>
      <c r="D11" s="10" t="n"/>
      <c r="E11" s="11" t="n"/>
      <c r="F11" s="11">
        <f>IF((C11-B11)+(E11-D11)=0,0,((C11-B11)+(E11-D11))-$K$5)</f>
        <v/>
      </c>
      <c r="G11" s="10" t="n">
        <v>0.03333333333333333</v>
      </c>
      <c r="H11" s="10">
        <f>IF((F11-$K$3)&gt;$K$4,ABS(F11-$K$3),0)</f>
        <v/>
      </c>
      <c r="I11" s="50" t="inlineStr">
        <is>
          <t>FALTA</t>
        </is>
      </c>
      <c r="J11" s="61" t="inlineStr">
        <is>
          <t>ATESTADO</t>
        </is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  <c r="I12" s="55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 t="n">
        <v>0.03333333333333333</v>
      </c>
      <c r="H15" s="10">
        <f>IF((F15-$K$3)&gt;$K$4,ABS(F15-$K$3),0)</f>
        <v/>
      </c>
      <c r="I15" s="51" t="inlineStr">
        <is>
          <t>FALTA</t>
        </is>
      </c>
      <c r="J15" s="61" t="inlineStr">
        <is>
          <t>ATESTADO</t>
        </is>
      </c>
    </row>
    <row r="16">
      <c r="A16" s="9" t="n">
        <v>13</v>
      </c>
      <c r="B16" s="10" t="n">
        <v>0.3125</v>
      </c>
      <c r="C16" s="10" t="n">
        <v>0.4888888888888889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0.3131944444444444</v>
      </c>
      <c r="C17" s="10" t="n">
        <v>0.4861111111111111</v>
      </c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0.3208333333333334</v>
      </c>
      <c r="C18" s="10" t="n">
        <v>0.4861111111111111</v>
      </c>
      <c r="D18" s="10" t="n">
        <v>0.5416666666666666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  <c r="I19" s="55" t="n"/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  <c r="I20" s="55" t="n"/>
    </row>
    <row r="21">
      <c r="A21" s="9" t="n">
        <v>18</v>
      </c>
      <c r="B21" s="10" t="n">
        <v>0.3145833333333333</v>
      </c>
      <c r="C21" s="10" t="n">
        <v>0.4868055555555555</v>
      </c>
      <c r="D21" s="10" t="n">
        <v>0.5416666666666666</v>
      </c>
      <c r="E21" s="11" t="n">
        <v>0.5791666666666667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 t="n">
        <v>0.03333333333333333</v>
      </c>
      <c r="H22" s="10">
        <f>IF((F22-$K$3)&gt;$K$4,ABS(F22-$K$3),0)</f>
        <v/>
      </c>
      <c r="I22" s="50" t="inlineStr">
        <is>
          <t>FALTA</t>
        </is>
      </c>
      <c r="J22" s="35" t="inlineStr">
        <is>
          <t>ATESTADO</t>
        </is>
      </c>
    </row>
    <row r="23">
      <c r="A23" s="9" t="n">
        <v>20</v>
      </c>
      <c r="B23" s="10" t="n">
        <v>0.3138888888888889</v>
      </c>
      <c r="C23" s="10" t="n">
        <v>0.4868055555555555</v>
      </c>
      <c r="D23" s="10" t="n">
        <v>0.5416666666666666</v>
      </c>
      <c r="E23" s="11" t="n">
        <v>0.7423611111111111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0.3138888888888889</v>
      </c>
      <c r="C24" s="10" t="n">
        <v>0.4868055555555555</v>
      </c>
      <c r="D24" s="10" t="n">
        <v>0.5416666666666666</v>
      </c>
      <c r="E24" s="11" t="n">
        <v>0.7423611111111111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>
        <v>0.3138888888888889</v>
      </c>
      <c r="C25" s="10" t="n">
        <v>0.4861111111111111</v>
      </c>
      <c r="D25" s="10" t="n">
        <v>0.5416666666666666</v>
      </c>
      <c r="E25" s="11" t="n">
        <v>0.7423611111111111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0.3138888888888889</v>
      </c>
      <c r="C29" s="10" t="n">
        <v>0.4875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0.4861111111111111</v>
      </c>
      <c r="D30" s="10" t="n">
        <v>0.5416666666666666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0.3131944444444444</v>
      </c>
      <c r="C31" s="10" t="n">
        <v>0.4861111111111111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0.3131944444444444</v>
      </c>
      <c r="C32" s="10" t="n">
        <v>0.4861111111111111</v>
      </c>
      <c r="D32" s="10" t="n">
        <v>0.5416666666666666</v>
      </c>
      <c r="E32" s="11" t="n">
        <v>0.7423611111111111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9" operator="greaterThan" dxfId="4">
      <formula>0.31875</formula>
    </cfRule>
  </conditionalFormatting>
  <conditionalFormatting sqref="B4:D34">
    <cfRule type="cellIs" priority="7" operator="lessThan" dxfId="6">
      <formula>0.319444444444444</formula>
    </cfRule>
    <cfRule type="cellIs" priority="8" operator="greaterThan" dxfId="4">
      <formula>0.31875</formula>
    </cfRule>
  </conditionalFormatting>
  <conditionalFormatting sqref="E4:F34">
    <cfRule type="cellIs" priority="6" operator="greaterThan" dxfId="4">
      <formula>0.741666666666667</formula>
    </cfRule>
  </conditionalFormatting>
  <conditionalFormatting sqref="G36:H36">
    <cfRule type="expression" priority="5" dxfId="2">
      <formula>$G$35&gt;$H$35</formula>
    </cfRule>
    <cfRule type="expression" priority="4" dxfId="3">
      <formula>$H$35&gt;$G$35</formula>
    </cfRule>
  </conditionalFormatting>
  <conditionalFormatting sqref="O37">
    <cfRule type="expression" priority="3" dxfId="165">
      <formula>$L$39&gt;$N$35</formula>
    </cfRule>
    <cfRule type="expression" priority="2" dxfId="164">
      <formula>$N$35&gt;$L$39</formula>
    </cfRule>
  </conditionalFormatting>
  <pageMargins left="0.511811024" right="0.511811024" top="0.787401575" bottom="0.787401575" header="0.31496062" footer="0.31496062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O38" sqref="O3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44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I5" s="55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50" t="inlineStr">
        <is>
          <t>FALTA</t>
        </is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 t="n">
        <v>0.03333333333333333</v>
      </c>
      <c r="H8" s="10">
        <f>IF((F8-$K$3)&gt;$K$4,ABS(F8-$K$3),0)</f>
        <v/>
      </c>
      <c r="I8" s="50" t="inlineStr">
        <is>
          <t>FALTA</t>
        </is>
      </c>
    </row>
    <row r="9">
      <c r="A9" s="9" t="n">
        <v>6</v>
      </c>
      <c r="B9" s="10" t="n">
        <v>0.3125</v>
      </c>
      <c r="C9" s="10" t="n">
        <v>0.4861111111111111</v>
      </c>
      <c r="D9" s="10" t="n">
        <v>0.4965277777777778</v>
      </c>
      <c r="E9" s="11" t="n">
        <v>0.7430555555555556</v>
      </c>
      <c r="F9" s="11">
        <f>IF((C9-B9)+(E9-D9)=0,0,((C9-B9)+(E9-D9))-$K$5)</f>
        <v/>
      </c>
      <c r="G9" s="10" t="n">
        <v>0.03333333333333333</v>
      </c>
      <c r="H9" s="10">
        <f>IF((F9-$K$3)&gt;$K$4,ABS(F9-$K$3),0)</f>
        <v/>
      </c>
      <c r="I9" s="55" t="n"/>
    </row>
    <row r="10">
      <c r="A10" s="9" t="n">
        <v>7</v>
      </c>
      <c r="B10" s="10" t="n">
        <v>0.3118055555555556</v>
      </c>
      <c r="C10" s="10" t="n">
        <v>0.4868055555555555</v>
      </c>
      <c r="D10" s="10" t="n">
        <v>0.5416666666666666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0.4861111111111111</v>
      </c>
      <c r="D11" s="10" t="n">
        <v>0.5416666666666666</v>
      </c>
      <c r="E11" s="11" t="n">
        <v>0.7423611111111111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55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  <c r="I12" s="55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 t="n">
        <v>0.03333333333333333</v>
      </c>
      <c r="H15" s="10">
        <f>IF((F15-$K$3)&gt;$K$4,ABS(F15-$K$3),0)</f>
        <v/>
      </c>
      <c r="I15" s="50" t="inlineStr">
        <is>
          <t>FALTA</t>
        </is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 t="n">
        <v>0.03333333333333333</v>
      </c>
      <c r="H16" s="10">
        <f>IF((F16-$K$3)&gt;$K$4,ABS(F16-$K$3),0)</f>
        <v/>
      </c>
      <c r="I16" s="50" t="inlineStr">
        <is>
          <t>FALTA</t>
        </is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 t="n">
        <v>0.03333333333333333</v>
      </c>
      <c r="H17" s="10">
        <f>IF((F17-$K$3)&gt;$K$4,ABS(F17-$K$3),0)</f>
        <v/>
      </c>
      <c r="I17" s="50" t="inlineStr">
        <is>
          <t>FALTA</t>
        </is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  <c r="I19" s="55" t="n"/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  <c r="I20" s="55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2" dxfId="2">
      <formula>$G$35&gt;$H$35</formula>
    </cfRule>
    <cfRule type="expression" priority="1" dxfId="3">
      <formula>$H$35&gt;$G$35</formula>
    </cfRule>
  </conditionalFormatting>
  <pageMargins left="0.511811024" right="0.511811024" top="0.787401575" bottom="0.787401575" header="0.31496062" footer="0.31496062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O38" sqref="O3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44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0.3125</v>
      </c>
      <c r="C7" s="10" t="n">
        <v>0.4875</v>
      </c>
      <c r="D7" s="10" t="n">
        <v>0.5416666666666666</v>
      </c>
      <c r="E7" s="11" t="n">
        <v>0.7416666666666667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0.3131944444444444</v>
      </c>
      <c r="C8" s="10" t="n">
        <v>0.4875</v>
      </c>
      <c r="D8" s="10" t="n">
        <v>0.5416666666666666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0.3125</v>
      </c>
      <c r="C9" s="10" t="n">
        <v>0.4861111111111111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0.3111111111111111</v>
      </c>
      <c r="C10" s="10" t="n">
        <v>0.4861111111111111</v>
      </c>
      <c r="D10" s="10" t="n">
        <v>0.5416666666666666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0.4861111111111111</v>
      </c>
      <c r="D11" s="10" t="n">
        <v>0.5416666666666666</v>
      </c>
      <c r="E11" s="11" t="n">
        <v>0.7416666666666667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>
        <v>0.3131944444444444</v>
      </c>
      <c r="C15" s="10" t="n">
        <v>0.4868055555555555</v>
      </c>
      <c r="D15" s="10" t="n">
        <v>0.5416666666666666</v>
      </c>
      <c r="E15" s="11" t="n">
        <v>0.7423611111111111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>
        <v>0.3125</v>
      </c>
      <c r="C16" s="10" t="n">
        <v>0.5208333333333334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>
        <v>0.3138888888888889</v>
      </c>
      <c r="C17" s="10" t="n">
        <v>0.4861111111111111</v>
      </c>
      <c r="D17" s="10" t="n">
        <v>0.5277777777777778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0.4861111111111111</v>
      </c>
      <c r="D18" s="10" t="n">
        <v>0.5277777777777778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>
        <v>0.3131944444444444</v>
      </c>
      <c r="C21" s="10" t="n">
        <v>0.4875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0.3138888888888889</v>
      </c>
      <c r="C22" s="10" t="n">
        <v>0.4868055555555555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0.3138888888888889</v>
      </c>
      <c r="C23" s="10" t="n">
        <v>0.4868055555555555</v>
      </c>
      <c r="D23" s="10" t="n">
        <v>0.5416666666666666</v>
      </c>
      <c r="E23" s="11" t="n">
        <v>0.7423611111111111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>
        <v>0.4868055555555555</v>
      </c>
      <c r="D24" s="10" t="n">
        <v>0.5416666666666666</v>
      </c>
      <c r="E24" s="11" t="n">
        <v>0.7423611111111111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>
        <v>0.3138888888888889</v>
      </c>
      <c r="C25" s="10" t="n">
        <v>0.4861111111111111</v>
      </c>
      <c r="D25" s="10" t="n">
        <v>0.5416666666666666</v>
      </c>
      <c r="E25" s="11" t="n">
        <v>0.7423611111111111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0.3131944444444444</v>
      </c>
      <c r="C28" s="10" t="n">
        <v>0.4868055555555555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>
        <v>0.3138888888888889</v>
      </c>
      <c r="C29" s="10" t="n">
        <v>0.4875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0.4861111111111111</v>
      </c>
      <c r="D30" s="10" t="n">
        <v>0.5416666666666666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0.3131944444444444</v>
      </c>
      <c r="C31" s="10" t="n">
        <v>0.4861111111111111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0.3131944444444444</v>
      </c>
      <c r="C32" s="10" t="n">
        <v>0.4861111111111111</v>
      </c>
      <c r="D32" s="10" t="n">
        <v>0.5416666666666666</v>
      </c>
      <c r="E32" s="11" t="n">
        <v>0.7423611111111111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  <c r="O38" s="15" t="n"/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2" dxfId="2">
      <formula>$G$35&gt;$H$35</formula>
    </cfRule>
    <cfRule type="expression" priority="1" dxfId="3">
      <formula>$H$35&gt;$G$35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B16" workbookViewId="0">
      <selection activeCell="O38" sqref="O3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44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</row>
    <row r="7">
      <c r="A7" s="9" t="n">
        <v>4</v>
      </c>
      <c r="B7" s="10" t="n">
        <v>0.3180555555555555</v>
      </c>
      <c r="C7" s="10" t="n">
        <v>0.4868055555555555</v>
      </c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</row>
    <row r="8">
      <c r="A8" s="9" t="n">
        <v>5</v>
      </c>
      <c r="B8" s="10" t="n">
        <v>0.3243055555555556</v>
      </c>
      <c r="C8" s="10" t="n">
        <v>0.4923611111111111</v>
      </c>
      <c r="D8" s="10" t="n">
        <v>0.5416666666666666</v>
      </c>
      <c r="E8" s="11" t="n">
        <v>0.7423611111111111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>
        <v>0.3166666666666667</v>
      </c>
      <c r="C9" s="10" t="n">
        <v>0.4861111111111111</v>
      </c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>
        <v>0.2923611111111111</v>
      </c>
      <c r="C10" s="10" t="n">
        <v>0.575</v>
      </c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 t="n">
        <v>0.03333333333333333</v>
      </c>
      <c r="H11" s="10">
        <f>IF((F11-$K$3)&gt;$K$4,ABS(F11-$K$3),0)</f>
        <v/>
      </c>
      <c r="I11" s="50" t="inlineStr">
        <is>
          <t>FALTA</t>
        </is>
      </c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 t="n">
        <v>0</v>
      </c>
      <c r="H12" s="10">
        <f>IF((F12-$K$3)&gt;$K$4,ABS(F12-$K$3),0)</f>
        <v/>
      </c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>
        <v>0.3236111111111111</v>
      </c>
      <c r="C15" s="10" t="n">
        <v>0.4097222222222222</v>
      </c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 t="n">
        <v>0</v>
      </c>
      <c r="H19" s="10">
        <f>IF((F19-$K$3)&gt;$K$4,ABS(F19-$K$3),0)</f>
        <v/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</v>
      </c>
      <c r="H20" s="10">
        <f>IF((F20-$K$3)&gt;$K$4,ABS(F20-$K$3),0)</f>
        <v/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 t="n">
        <v>0</v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1" dxfId="3">
      <formula>$H$35&gt;$G$35</formula>
    </cfRule>
    <cfRule type="expression" priority="2" dxfId="2">
      <formula>$G$35&gt;$H$35</formula>
    </cfRule>
  </conditionalFormatting>
  <pageMargins left="0.511811024" right="0.511811024" top="0.787401575" bottom="0.787401575" header="0.31496062" footer="0.31496062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K53" sqref="K53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0.3125</v>
      </c>
      <c r="C4" s="10" t="n">
        <v>0.5083333333333333</v>
      </c>
      <c r="D4" s="10" t="n">
        <v>0.5548611111111111</v>
      </c>
      <c r="E4" s="11" t="n">
        <v>0.7541666666666667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0.4875</v>
      </c>
      <c r="D5" s="10" t="n">
        <v>0.5416666666666666</v>
      </c>
      <c r="E5" s="11" t="n">
        <v>0.7680555555555556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55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0.2916666666666667</v>
      </c>
      <c r="C6" s="10" t="n">
        <v>0.6020833333333333</v>
      </c>
      <c r="D6" s="10" t="n">
        <v>0.6555555555555556</v>
      </c>
      <c r="E6" s="11" t="n">
        <v>0.7701388888888889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61" t="inlineStr">
        <is>
          <t>FERIADO</t>
        </is>
      </c>
    </row>
    <row r="8">
      <c r="A8" s="9" t="n">
        <v>5</v>
      </c>
      <c r="B8" s="10" t="n">
        <v>0.3125</v>
      </c>
      <c r="C8" s="10" t="n">
        <v>0.4888888888888889</v>
      </c>
      <c r="D8" s="10" t="n">
        <v>0.5416666666666666</v>
      </c>
      <c r="E8" s="11" t="n">
        <v>0.75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0.4881944444444444</v>
      </c>
      <c r="D11" s="10" t="n">
        <v>0.5416666666666666</v>
      </c>
      <c r="E11" s="11" t="n">
        <v>0.7625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55" t="n"/>
    </row>
    <row r="12">
      <c r="A12" s="9" t="n">
        <v>9</v>
      </c>
      <c r="B12" s="10" t="n">
        <v>0.3111111111111111</v>
      </c>
      <c r="C12" s="10" t="n">
        <v>0.49375</v>
      </c>
      <c r="D12" s="10" t="n">
        <v>0.5416666666666666</v>
      </c>
      <c r="E12" s="11" t="n">
        <v>0.7694444444444445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55" t="n"/>
    </row>
    <row r="13">
      <c r="A13" s="9" t="n">
        <v>10</v>
      </c>
      <c r="B13" s="10" t="n">
        <v>0.3125</v>
      </c>
      <c r="C13" s="10" t="n">
        <v>0.4861111111111111</v>
      </c>
      <c r="D13" s="10" t="n">
        <v>0.5416666666666666</v>
      </c>
      <c r="E13" s="11" t="n">
        <v>0.7555555555555555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>
        <v>0.3131944444444444</v>
      </c>
      <c r="C14" s="10" t="n">
        <v>0.4875</v>
      </c>
      <c r="D14" s="10" t="n">
        <v>0.5423611111111111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0.3125</v>
      </c>
      <c r="C15" s="10" t="n">
        <v>0.4944444444444445</v>
      </c>
      <c r="D15" s="10" t="n">
        <v>0.5486111111111112</v>
      </c>
      <c r="E15" s="11" t="n">
        <v>0.7680555555555556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0.3131944444444444</v>
      </c>
      <c r="C18" s="10" t="n">
        <v>0.4868055555555555</v>
      </c>
      <c r="D18" s="10" t="n">
        <v>0.5416666666666666</v>
      </c>
      <c r="E18" s="11" t="n">
        <v>0.7618055555555555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0.3118055555555556</v>
      </c>
      <c r="C19" s="10" t="n">
        <v>0.4868055555555555</v>
      </c>
      <c r="D19" s="10" t="n">
        <v>0.5416666666666666</v>
      </c>
      <c r="E19" s="11" t="n">
        <v>0.7444444444444445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55" t="n"/>
    </row>
    <row r="20">
      <c r="A20" s="9" t="n">
        <v>17</v>
      </c>
      <c r="B20" s="10" t="n">
        <v>0.2868055555555555</v>
      </c>
      <c r="C20" s="10" t="n">
        <v>0.4895833333333333</v>
      </c>
      <c r="D20" s="10" t="n">
        <v>0.5423611111111111</v>
      </c>
      <c r="E20" s="11" t="n">
        <v>0.7743055555555556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55" t="n"/>
    </row>
    <row r="21">
      <c r="A21" s="9" t="n">
        <v>18</v>
      </c>
      <c r="B21" s="10" t="n">
        <v>0.3125</v>
      </c>
      <c r="C21" s="10" t="n">
        <v>0.5034722222222222</v>
      </c>
      <c r="D21" s="10" t="n">
        <v>0.5486111111111112</v>
      </c>
      <c r="E21" s="11" t="n">
        <v>0.7576388888888889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0.3131944444444444</v>
      </c>
      <c r="C22" s="10" t="n">
        <v>0.4986111111111111</v>
      </c>
      <c r="D22" s="10" t="n">
        <v>0.5534722222222223</v>
      </c>
      <c r="E22" s="11" t="n">
        <v>0.7486111111111111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>
        <v>0.3125</v>
      </c>
      <c r="C25" s="10" t="n">
        <v>0.49375</v>
      </c>
      <c r="D25" s="10" t="n">
        <v>0.5486111111111112</v>
      </c>
      <c r="E25" s="11" t="n">
        <v>0.7666666666666667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0.5013888888888889</v>
      </c>
      <c r="D26" s="10" t="n">
        <v>0.5555555555555556</v>
      </c>
      <c r="E26" s="11" t="n">
        <v>0.78125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0.3131944444444444</v>
      </c>
      <c r="C27" s="10" t="n">
        <v>0.4958333333333333</v>
      </c>
      <c r="D27" s="10" t="n">
        <v>0.5493055555555556</v>
      </c>
      <c r="E27" s="11" t="n">
        <v>0.74375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0.3131944444444444</v>
      </c>
      <c r="C28" s="10" t="n">
        <v>0.4875</v>
      </c>
      <c r="D28" s="10" t="n">
        <v>0.5416666666666666</v>
      </c>
      <c r="E28" s="11" t="n">
        <v>0.7631944444444444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0.4881944444444444</v>
      </c>
      <c r="D29" s="10" t="n">
        <v>0.5423611111111111</v>
      </c>
      <c r="E29" s="11" t="n">
        <v>0.7590277777777777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O31" s="59" t="n"/>
    </row>
    <row r="32">
      <c r="A32" s="9" t="n">
        <v>29</v>
      </c>
      <c r="B32" s="10" t="n">
        <v>0.3125</v>
      </c>
      <c r="C32" s="10" t="n">
        <v>0.5034722222222222</v>
      </c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1" t="inlineStr">
        <is>
          <t>JOGO</t>
        </is>
      </c>
    </row>
    <row r="33" ht="15.75" customHeight="1" s="45" thickBot="1">
      <c r="A33" s="9" t="n">
        <v>30</v>
      </c>
      <c r="B33" s="10" t="n">
        <v>0.3125</v>
      </c>
      <c r="C33" s="10" t="n">
        <v>0.4875</v>
      </c>
      <c r="D33" s="10" t="n">
        <v>0.5416666666666666</v>
      </c>
      <c r="E33" s="11" t="n">
        <v>0.7590277777777777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0.8611111111111112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1" dxfId="3">
      <formula>$H$35&gt;$G$35</formula>
    </cfRule>
    <cfRule type="expression" priority="2" dxfId="2">
      <formula>$G$35&gt;$H$35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G32" sqref="G32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0.3125</v>
      </c>
      <c r="C4" s="10" t="n">
        <v>0.4868055555555555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0.4861111111111111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55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0.2916666666666667</v>
      </c>
      <c r="C6" s="10" t="n">
        <v>0.4875</v>
      </c>
      <c r="D6" s="10" t="n">
        <v>0.5416666666666666</v>
      </c>
      <c r="E6" s="11" t="n">
        <v>0.7430555555555556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61" t="inlineStr">
        <is>
          <t>FERIADO</t>
        </is>
      </c>
    </row>
    <row r="8">
      <c r="A8" s="9" t="n">
        <v>5</v>
      </c>
      <c r="B8" s="10" t="n">
        <v>0.3125</v>
      </c>
      <c r="C8" s="10" t="n">
        <v>0.4861111111111111</v>
      </c>
      <c r="D8" s="10" t="n">
        <v>0.5416666666666666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0.3131944444444444</v>
      </c>
      <c r="C11" s="10" t="n">
        <v>0.4875</v>
      </c>
      <c r="D11" s="10" t="n">
        <v>0.5416666666666666</v>
      </c>
      <c r="E11" s="11" t="n">
        <v>0.7423611111111111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55" t="n"/>
    </row>
    <row r="12">
      <c r="A12" s="9" t="n">
        <v>9</v>
      </c>
      <c r="B12" s="10" t="n">
        <v>0.3111111111111111</v>
      </c>
      <c r="C12" s="10" t="n">
        <v>0.4875</v>
      </c>
      <c r="D12" s="10" t="n">
        <v>0.5416666666666666</v>
      </c>
      <c r="E12" s="11" t="n">
        <v>0.7430555555555556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55" t="n"/>
    </row>
    <row r="13">
      <c r="A13" s="9" t="n">
        <v>10</v>
      </c>
      <c r="B13" s="10" t="n">
        <v>0.3152777777777778</v>
      </c>
      <c r="C13" s="10" t="n">
        <v>0.5423611111111111</v>
      </c>
      <c r="D13" s="10" t="n">
        <v>0.5013888888888889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>
        <v>0.3138888888888889</v>
      </c>
      <c r="C14" s="10" t="n">
        <v>0.4875</v>
      </c>
      <c r="D14" s="10" t="n">
        <v>0.5416666666666666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0.3131944444444444</v>
      </c>
      <c r="C18" s="10" t="n">
        <v>0.4868055555555555</v>
      </c>
      <c r="D18" s="10" t="n">
        <v>0.5416666666666666</v>
      </c>
      <c r="E18" s="11" t="n">
        <v>0.7430555555555556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0.4868055555555555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55" t="n"/>
    </row>
    <row r="20">
      <c r="A20" s="9" t="n">
        <v>17</v>
      </c>
      <c r="B20" s="10" t="n">
        <v>0.3138888888888889</v>
      </c>
      <c r="C20" s="10" t="n">
        <v>0.4868055555555555</v>
      </c>
      <c r="D20" s="10" t="n">
        <v>0.5416666666666666</v>
      </c>
      <c r="E20" s="11" t="n">
        <v>0.7423611111111111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55" t="n"/>
    </row>
    <row r="21">
      <c r="A21" s="9" t="n">
        <v>18</v>
      </c>
      <c r="B21" s="10" t="n">
        <v>0.3125</v>
      </c>
      <c r="C21" s="10" t="n">
        <v>0.4868055555555555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0.4868055555555555</v>
      </c>
      <c r="D22" s="10" t="n">
        <v>0.5416666666666666</v>
      </c>
      <c r="E22" s="11" t="n">
        <v>0.7423611111111111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>
        <v>0.3125</v>
      </c>
      <c r="C25" s="10" t="n">
        <v>0.4881944444444444</v>
      </c>
      <c r="D25" s="10" t="n">
        <v>0.5416666666666666</v>
      </c>
      <c r="E25" s="11" t="n">
        <v>0.7416666666666667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0.4909722222222222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0.3131944444444444</v>
      </c>
      <c r="C27" s="10" t="n">
        <v>0.4875</v>
      </c>
      <c r="D27" s="10" t="n">
        <v>0.5416666666666666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0.3145833333333333</v>
      </c>
      <c r="C28" s="10" t="n">
        <v>0.4868055555555555</v>
      </c>
      <c r="D28" s="10" t="n">
        <v>0.5416666666666666</v>
      </c>
      <c r="E28" s="11" t="n">
        <v>0.7423611111111111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0.3131944444444444</v>
      </c>
      <c r="C29" s="10" t="n">
        <v>0.4868055555555555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O31" s="59" t="n"/>
    </row>
    <row r="32">
      <c r="A32" s="9" t="n">
        <v>29</v>
      </c>
      <c r="B32" s="10" t="n">
        <v>0.3125</v>
      </c>
      <c r="C32" s="10" t="n">
        <v>0.5</v>
      </c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1" t="inlineStr">
        <is>
          <t>JOGO</t>
        </is>
      </c>
    </row>
    <row r="33" ht="15.75" customHeight="1" s="45" thickBot="1">
      <c r="A33" s="9" t="n">
        <v>30</v>
      </c>
      <c r="B33" s="10" t="n">
        <v>0.3131944444444444</v>
      </c>
      <c r="C33" s="10" t="n">
        <v>0.4881944444444444</v>
      </c>
      <c r="D33" s="10" t="n">
        <v>0.5416666666666666</v>
      </c>
      <c r="E33" s="11" t="n">
        <v>0.7423611111111111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2" dxfId="0">
      <formula>$L$39&gt;$N$35</formula>
    </cfRule>
    <cfRule type="expression" priority="1" dxfId="1">
      <formula>$N$35&gt;$L$39</formula>
    </cfRule>
  </conditionalFormatting>
  <pageMargins left="0.511811024" right="0.511811024" top="0.787401575" bottom="0.787401575" header="0.31496062" footer="0.31496062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L21" sqref="L21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0.3145833333333333</v>
      </c>
      <c r="C4" s="10" t="n">
        <v>0.4868055555555555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 t="n">
        <v>0.03333333333333333</v>
      </c>
      <c r="H5" s="10">
        <f>IF((F5-$K$3)&gt;$K$4,ABS(F5-$K$3),0)</f>
        <v/>
      </c>
      <c r="I5" s="61" t="inlineStr">
        <is>
          <t>ATESTADO</t>
        </is>
      </c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>
        <v>0.5423611111111111</v>
      </c>
      <c r="E6" s="11" t="n">
        <v>0.7430555555555556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61" t="inlineStr">
        <is>
          <t>FERIADO</t>
        </is>
      </c>
    </row>
    <row r="8">
      <c r="A8" s="9" t="n">
        <v>5</v>
      </c>
      <c r="B8" s="10" t="n">
        <v>0.3125</v>
      </c>
      <c r="C8" s="10" t="n">
        <v>0.4861111111111111</v>
      </c>
      <c r="D8" s="10" t="n">
        <v>0.5416666666666666</v>
      </c>
      <c r="E8" s="11" t="n">
        <v>0.7423611111111111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0.3131944444444444</v>
      </c>
      <c r="C11" s="10" t="n">
        <v>0.4875</v>
      </c>
      <c r="D11" s="10" t="n">
        <v>0.5416666666666666</v>
      </c>
      <c r="E11" s="11" t="n">
        <v>0.7423611111111111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55" t="n"/>
    </row>
    <row r="12">
      <c r="A12" s="9" t="n">
        <v>9</v>
      </c>
      <c r="B12" s="10" t="n">
        <v>0.3111111111111111</v>
      </c>
      <c r="C12" s="10" t="n">
        <v>0.4861111111111111</v>
      </c>
      <c r="D12" s="10" t="n">
        <v>0.5416666666666666</v>
      </c>
      <c r="E12" s="11" t="n">
        <v>0.7430555555555556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55" t="n"/>
    </row>
    <row r="13">
      <c r="A13" s="9" t="n">
        <v>10</v>
      </c>
      <c r="B13" s="10" t="n"/>
      <c r="C13" s="10" t="n"/>
      <c r="D13" s="10" t="n">
        <v>0.5458333333333333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>
        <v>0.3138888888888889</v>
      </c>
      <c r="C14" s="10" t="n">
        <v>0.4868055555555555</v>
      </c>
      <c r="D14" s="10" t="n">
        <v>0.5416666666666666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0.3131944444444444</v>
      </c>
      <c r="C18" s="10" t="n">
        <v>0.4861111111111111</v>
      </c>
      <c r="D18" s="10" t="n">
        <v>0.5416666666666666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0.3159722222222222</v>
      </c>
      <c r="C19" s="10" t="n">
        <v>0.4868055555555555</v>
      </c>
      <c r="D19" s="10" t="n">
        <v>0.5416666666666666</v>
      </c>
      <c r="E19" s="11" t="n">
        <v>0.7416666666666667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55" t="n"/>
    </row>
    <row r="20">
      <c r="A20" s="9" t="n">
        <v>17</v>
      </c>
      <c r="B20" s="10" t="n">
        <v>0.3125</v>
      </c>
      <c r="C20" s="10" t="n">
        <v>0.4868055555555555</v>
      </c>
      <c r="D20" s="10" t="n">
        <v>0.5416666666666666</v>
      </c>
      <c r="E20" s="11" t="n">
        <v>0.7423611111111111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55" t="n"/>
    </row>
    <row r="21">
      <c r="A21" s="9" t="n">
        <v>18</v>
      </c>
      <c r="B21" s="10" t="n">
        <v>0.3145833333333333</v>
      </c>
      <c r="C21" s="10" t="n">
        <v>0.4868055555555555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0.3166666666666667</v>
      </c>
      <c r="C22" s="10" t="n">
        <v>0.4868055555555555</v>
      </c>
      <c r="D22" s="10" t="n">
        <v>0.5416666666666666</v>
      </c>
      <c r="E22" s="11" t="n">
        <v>0.7423611111111111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>
        <v>0.3138888888888889</v>
      </c>
      <c r="C25" s="10" t="n">
        <v>0.4159722222222222</v>
      </c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0.3138888888888889</v>
      </c>
      <c r="C26" s="10" t="n">
        <v>0.4909722222222222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0.3125</v>
      </c>
      <c r="C27" s="10" t="n">
        <v>0.4875</v>
      </c>
      <c r="D27" s="10" t="n">
        <v>0.5416666666666666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>
        <v>0.5416666666666666</v>
      </c>
      <c r="E28" s="11" t="n">
        <v>0.7423611111111111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/>
      <c r="C29" s="10" t="n"/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O31" s="59" t="n"/>
    </row>
    <row r="32">
      <c r="A32" s="9" t="n">
        <v>29</v>
      </c>
      <c r="B32" s="10" t="n">
        <v>0.3125</v>
      </c>
      <c r="C32" s="10" t="n">
        <v>0.5</v>
      </c>
      <c r="D32" s="10" t="n"/>
      <c r="E32" s="11" t="n"/>
      <c r="F32" s="11">
        <f>IF((C32-B32)+(E32-D32)=0,0,((C32-B32)+(E32-D32))-$K$5)</f>
        <v/>
      </c>
      <c r="G32" s="10" t="n"/>
      <c r="H32" s="10">
        <f>IF((F32-$K$3)&gt;$K$4,ABS(F32-$K$3),0)</f>
        <v/>
      </c>
      <c r="I32" s="61" t="inlineStr">
        <is>
          <t>JOGO</t>
        </is>
      </c>
      <c r="J32" s="59" t="n">
        <v>0.1861111111111111</v>
      </c>
    </row>
    <row r="33" ht="15.75" customHeight="1" s="45" thickBot="1">
      <c r="A33" s="9" t="n">
        <v>30</v>
      </c>
      <c r="B33" s="10" t="n">
        <v>0.3125</v>
      </c>
      <c r="C33" s="10" t="n">
        <v>0.4875</v>
      </c>
      <c r="D33" s="10" t="n">
        <v>0.5416666666666666</v>
      </c>
      <c r="E33" s="11" t="n">
        <v>0.7423611111111111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1" workbookViewId="0">
      <selection activeCell="O37" sqref="O37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0.3159722222222222</v>
      </c>
      <c r="C4" s="10" t="n">
        <v>0.5472222222222223</v>
      </c>
      <c r="D4" s="10" t="n">
        <v>0.6145833333333334</v>
      </c>
      <c r="E4" s="11" t="n">
        <v>0.7381944444444445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0.3159722222222222</v>
      </c>
      <c r="C5" s="10" t="n">
        <v>0.6131944444444445</v>
      </c>
      <c r="D5" s="10" t="n">
        <v>0.6854166666666667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55" t="n"/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0.2916666666666667</v>
      </c>
      <c r="C6" s="10" t="n">
        <v>0.5763888888888888</v>
      </c>
      <c r="D6" s="10" t="n">
        <v>0.6402777777777777</v>
      </c>
      <c r="E6" s="11" t="n">
        <v>0.7569444444444444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61" t="inlineStr">
        <is>
          <t>FERIADO</t>
        </is>
      </c>
    </row>
    <row r="8">
      <c r="A8" s="9" t="n">
        <v>5</v>
      </c>
      <c r="B8" s="10" t="n">
        <v>0.3125</v>
      </c>
      <c r="C8" s="10" t="n">
        <v>0.5777777777777777</v>
      </c>
      <c r="D8" s="10" t="n">
        <v>0.6520833333333333</v>
      </c>
      <c r="E8" s="11" t="n">
        <v>0.7729166666666667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0.3166666666666667</v>
      </c>
      <c r="C11" s="10" t="n">
        <v>0.5868055555555556</v>
      </c>
      <c r="D11" s="10" t="n">
        <v>0.6548611111111111</v>
      </c>
      <c r="E11" s="11" t="n">
        <v>0.7680555555555556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55" t="n"/>
    </row>
    <row r="12">
      <c r="A12" s="9" t="n">
        <v>9</v>
      </c>
      <c r="B12" s="10" t="n">
        <v>0.3236111111111111</v>
      </c>
      <c r="C12" s="10" t="n">
        <v>0.5854166666666667</v>
      </c>
      <c r="D12" s="10" t="n">
        <v>0.6527777777777778</v>
      </c>
      <c r="E12" s="11" t="n">
        <v>0.7569444444444444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55" t="n"/>
    </row>
    <row r="13">
      <c r="A13" s="9" t="n">
        <v>10</v>
      </c>
      <c r="B13" s="10" t="n">
        <v>0.3118055555555556</v>
      </c>
      <c r="C13" s="10" t="n">
        <v>0.5645833333333333</v>
      </c>
      <c r="D13" s="10" t="n">
        <v>0.6305555555555555</v>
      </c>
      <c r="E13" s="11" t="n">
        <v>0.7645833333333333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>
        <v>0.3138888888888889</v>
      </c>
      <c r="C14" s="10" t="n">
        <v>0.6277777777777778</v>
      </c>
      <c r="D14" s="10" t="n">
        <v>0.6847222222222222</v>
      </c>
      <c r="E14" s="11" t="n">
        <v>0.7555555555555555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0.3125</v>
      </c>
      <c r="C15" s="10" t="n">
        <v>0.6381944444444444</v>
      </c>
      <c r="D15" s="10" t="n">
        <v>0.6902777777777778</v>
      </c>
      <c r="E15" s="11" t="n">
        <v>0.7583333333333333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>
        <v>0.3125</v>
      </c>
      <c r="C18" s="10" t="n">
        <v>0.6125</v>
      </c>
      <c r="D18" s="10" t="n">
        <v>0.6909722222222222</v>
      </c>
      <c r="E18" s="11" t="n">
        <v>0.7555555555555555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0.6006944444444444</v>
      </c>
      <c r="D19" s="10" t="n">
        <v>0.6472222222222223</v>
      </c>
      <c r="E19" s="11" t="n">
        <v>0.7506944444444444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55" t="n"/>
    </row>
    <row r="20">
      <c r="A20" s="9" t="n">
        <v>17</v>
      </c>
      <c r="B20" s="10" t="n">
        <v>0.3104166666666667</v>
      </c>
      <c r="C20" s="10" t="n">
        <v>0.5861111111111111</v>
      </c>
      <c r="D20" s="10" t="n">
        <v>0.65</v>
      </c>
      <c r="E20" s="11" t="n">
        <v>0.7604166666666666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55" t="n"/>
    </row>
    <row r="21">
      <c r="A21" s="9" t="n">
        <v>18</v>
      </c>
      <c r="B21" s="10" t="n">
        <v>0.3222222222222222</v>
      </c>
      <c r="C21" s="10" t="n">
        <v>0.6388888888888888</v>
      </c>
      <c r="D21" s="10" t="n">
        <v>0.6923611111111111</v>
      </c>
      <c r="E21" s="11" t="n">
        <v>0.7520833333333333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0.3097222222222222</v>
      </c>
      <c r="C22" s="10" t="n">
        <v>0.6006944444444444</v>
      </c>
      <c r="D22" s="10" t="n">
        <v>0.6513888888888889</v>
      </c>
      <c r="E22" s="11" t="n">
        <v>0.7361111111111112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>
        <v>0.3222222222222222</v>
      </c>
      <c r="C25" s="10" t="n">
        <v>0.6326388888888889</v>
      </c>
      <c r="D25" s="10" t="n">
        <v>0.675</v>
      </c>
      <c r="E25" s="11" t="n">
        <v>0.7451388888888889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0.3090277777777778</v>
      </c>
      <c r="C26" s="10" t="n">
        <v>0.6215277777777778</v>
      </c>
      <c r="D26" s="10" t="n">
        <v>0.6784722222222223</v>
      </c>
      <c r="E26" s="11" t="n">
        <v>0.7395833333333334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>
        <v>0.3138888888888889</v>
      </c>
      <c r="C27" s="10" t="n">
        <v>0.5701388888888889</v>
      </c>
      <c r="D27" s="10" t="n">
        <v>0.6423611111111112</v>
      </c>
      <c r="E27" s="11" t="n">
        <v>0.7451388888888889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>
        <v>0.3208333333333334</v>
      </c>
      <c r="C28" s="10" t="n">
        <v>0.6166666666666667</v>
      </c>
      <c r="D28" s="10" t="n">
        <v>0.6861111111111111</v>
      </c>
      <c r="E28" s="11" t="n">
        <v>0.7388888888888889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0.3152777777777778</v>
      </c>
      <c r="C29" s="10" t="n">
        <v>0.5972222222222222</v>
      </c>
      <c r="D29" s="10" t="n">
        <v>0.6361111111111111</v>
      </c>
      <c r="E29" s="11" t="n">
        <v>0.7888888888888889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O31" s="59" t="n"/>
    </row>
    <row r="32">
      <c r="A32" s="9" t="n">
        <v>29</v>
      </c>
      <c r="B32" s="10" t="n">
        <v>0.3118055555555556</v>
      </c>
      <c r="C32" s="10" t="n">
        <v>0.5534722222222223</v>
      </c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1" t="inlineStr">
        <is>
          <t>JOGO</t>
        </is>
      </c>
    </row>
    <row r="33" ht="15.75" customHeight="1" s="45" thickBot="1">
      <c r="A33" s="9" t="n">
        <v>30</v>
      </c>
      <c r="B33" s="10" t="n">
        <v>0.3076388888888889</v>
      </c>
      <c r="C33" s="10" t="n">
        <v>0.6006944444444444</v>
      </c>
      <c r="D33" s="10" t="n">
        <v>0.65625</v>
      </c>
      <c r="E33" s="11" t="n">
        <v>0.7729166666666667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0.3506944444444444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1" dxfId="3">
      <formula>$H$35&gt;$G$35</formula>
    </cfRule>
    <cfRule type="expression" priority="2" dxfId="2">
      <formula>$G$35&gt;$H$35</formula>
    </cfRule>
  </conditionalFormatting>
  <pageMargins left="0.511811024" right="0.511811024" top="0.787401575" bottom="0.787401575" header="0.31496062" footer="0.31496062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0" workbookViewId="0">
      <selection activeCell="N8" sqref="N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0.3138888888888889</v>
      </c>
      <c r="C4" s="10" t="n">
        <v>0.5847222222222223</v>
      </c>
      <c r="D4" s="10" t="n">
        <v>0.6479166666666667</v>
      </c>
      <c r="E4" s="11" t="n">
        <v>0.7465277777777778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0.3194444444444444</v>
      </c>
      <c r="C5" s="10" t="n">
        <v>0.6006944444444444</v>
      </c>
      <c r="D5" s="10" t="n">
        <v>0.6694444444444444</v>
      </c>
      <c r="E5" s="11" t="n">
        <v>0.7520833333333333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55" t="n"/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0.3111111111111111</v>
      </c>
      <c r="C6" s="10" t="n">
        <v>0.6020833333333333</v>
      </c>
      <c r="D6" s="10" t="n">
        <v>0.6645833333333333</v>
      </c>
      <c r="E6" s="11" t="n">
        <v>0.6645833333333333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61" t="inlineStr">
        <is>
          <t>FERIADO</t>
        </is>
      </c>
      <c r="M7" t="inlineStr">
        <is>
          <t>DIAS</t>
        </is>
      </c>
      <c r="N7" t="inlineStr">
        <is>
          <t>DRS</t>
        </is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80" t="inlineStr">
        <is>
          <t>FALTA</t>
        </is>
      </c>
      <c r="J8" t="n">
        <v>1</v>
      </c>
      <c r="K8" t="n">
        <v>1</v>
      </c>
      <c r="M8">
        <f>SUM(J8:J33)</f>
        <v/>
      </c>
      <c r="N8">
        <f>SUM(K8:K33)</f>
        <v/>
      </c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80" t="inlineStr">
        <is>
          <t>FALTA</t>
        </is>
      </c>
      <c r="J11" t="n">
        <v>1</v>
      </c>
    </row>
    <row r="12">
      <c r="A12" s="9" t="n">
        <v>9</v>
      </c>
      <c r="B12" s="10" t="n">
        <v>0.3125</v>
      </c>
      <c r="C12" s="10" t="n">
        <v>0.6020833333333333</v>
      </c>
      <c r="D12" s="10" t="n">
        <v>0.6645833333333333</v>
      </c>
      <c r="E12" s="11" t="n">
        <v>0.7625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55" t="n"/>
    </row>
    <row r="13">
      <c r="A13" s="9" t="n">
        <v>10</v>
      </c>
      <c r="B13" s="10" t="n">
        <v>0.3125</v>
      </c>
      <c r="C13" s="10" t="n">
        <v>0.5583333333333333</v>
      </c>
      <c r="D13" s="10" t="n">
        <v>0.6229166666666667</v>
      </c>
      <c r="E13" s="11" t="n">
        <v>0.7451388888888889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2" t="inlineStr">
        <is>
          <t>FALTA</t>
        </is>
      </c>
      <c r="J14" t="n">
        <v>1</v>
      </c>
      <c r="K14" t="n">
        <v>1</v>
      </c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80" t="inlineStr">
        <is>
          <t>FALTA</t>
        </is>
      </c>
      <c r="J15" t="n">
        <v>1</v>
      </c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80" t="inlineStr">
        <is>
          <t>FALTA</t>
        </is>
      </c>
      <c r="J18" t="n">
        <v>1</v>
      </c>
      <c r="K18" t="n">
        <v>1</v>
      </c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80" t="inlineStr">
        <is>
          <t>FALTA</t>
        </is>
      </c>
      <c r="J19" t="n">
        <v>1</v>
      </c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80" t="inlineStr">
        <is>
          <t>FALTA</t>
        </is>
      </c>
      <c r="J20" t="n">
        <v>1</v>
      </c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80" t="inlineStr">
        <is>
          <t>FALTA</t>
        </is>
      </c>
      <c r="J21" t="n">
        <v>1</v>
      </c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80" t="inlineStr">
        <is>
          <t>FALTA</t>
        </is>
      </c>
      <c r="J22" t="n">
        <v>1</v>
      </c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80" t="inlineStr">
        <is>
          <t>FALTA</t>
        </is>
      </c>
      <c r="J25" t="n">
        <v>1</v>
      </c>
      <c r="K25" t="n">
        <v>1</v>
      </c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80" t="inlineStr">
        <is>
          <t>FALTA</t>
        </is>
      </c>
      <c r="J26" t="n">
        <v>1</v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80" t="inlineStr">
        <is>
          <t>FALTA</t>
        </is>
      </c>
      <c r="J27" t="n">
        <v>1</v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80" t="inlineStr">
        <is>
          <t>FALTA</t>
        </is>
      </c>
      <c r="J28" t="n">
        <v>1</v>
      </c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80" t="inlineStr">
        <is>
          <t>FALTA</t>
        </is>
      </c>
      <c r="J29" t="n">
        <v>1</v>
      </c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2" t="inlineStr">
        <is>
          <t>FALTA</t>
        </is>
      </c>
      <c r="J32" t="n">
        <v>1</v>
      </c>
      <c r="K32" t="n">
        <v>1</v>
      </c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  <c r="I33" s="62" t="inlineStr">
        <is>
          <t>FALTA</t>
        </is>
      </c>
      <c r="J33" t="n">
        <v>1</v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0.6111111111111112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6" operator="greaterThan" dxfId="4">
      <formula>0.31875</formula>
    </cfRule>
  </conditionalFormatting>
  <conditionalFormatting sqref="B4:D34">
    <cfRule type="cellIs" priority="4" operator="lessThan" dxfId="6">
      <formula>0.319444444444444</formula>
    </cfRule>
    <cfRule type="cellIs" priority="5" operator="greaterThan" dxfId="4">
      <formula>0.31875</formula>
    </cfRule>
  </conditionalFormatting>
  <conditionalFormatting sqref="E4:F34">
    <cfRule type="cellIs" priority="3" operator="greaterThan" dxfId="4">
      <formula>0.741666666666667</formula>
    </cfRule>
  </conditionalFormatting>
  <conditionalFormatting sqref="G36:H36">
    <cfRule type="expression" priority="1" dxfId="3">
      <formula>$H$35&gt;$G$35</formula>
    </cfRule>
    <cfRule type="expression" priority="2" dxfId="2">
      <formula>$G$35&gt;$H$35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D13" workbookViewId="0">
      <selection activeCell="L39" sqref="L39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0.3125</v>
      </c>
      <c r="C4" s="10" t="n">
        <v>0.4902777777777778</v>
      </c>
      <c r="D4" s="10" t="n">
        <v>0.5416666666666666</v>
      </c>
      <c r="E4" s="11" t="n">
        <v>0.7555555555555555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0.4909722222222222</v>
      </c>
      <c r="D5" s="10" t="n">
        <v>0.5423611111111111</v>
      </c>
      <c r="E5" s="11" t="n">
        <v>0.7548611111111111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0.5138888888888888</v>
      </c>
      <c r="D6" s="10" t="n">
        <v>0.5694444444444444</v>
      </c>
      <c r="E6" s="11" t="n">
        <v>0.7527777777777778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0.3118055555555556</v>
      </c>
      <c r="C9" s="10" t="n">
        <v>0.4881944444444444</v>
      </c>
      <c r="D9" s="10" t="n">
        <v>0.5423611111111111</v>
      </c>
      <c r="E9" s="11" t="n">
        <v>0.7638888888888888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0.3125</v>
      </c>
      <c r="C10" s="10" t="n">
        <v>0.4881944444444444</v>
      </c>
      <c r="D10" s="10" t="n">
        <v>0.5027777777777778</v>
      </c>
      <c r="E10" s="11" t="n">
        <v>0.7451388888888889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>
        <v>0.3125</v>
      </c>
      <c r="C11" s="10" t="n"/>
      <c r="D11" s="10" t="n"/>
      <c r="E11" s="11" t="n">
        <v>0.8145833333333333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0.2944444444444445</v>
      </c>
      <c r="C12" s="10" t="n">
        <v>0.4868055555555555</v>
      </c>
      <c r="D12" s="10" t="n">
        <v>0.5416666666666666</v>
      </c>
      <c r="E12" s="11" t="n">
        <v>0.7694444444444445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0.3131944444444444</v>
      </c>
      <c r="C13" s="10" t="n">
        <v>0.5048611111111111</v>
      </c>
      <c r="D13" s="10" t="n">
        <v>0.5618055555555556</v>
      </c>
      <c r="E13" s="11" t="n">
        <v>0.79375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0.3125</v>
      </c>
      <c r="C16" s="10" t="n">
        <v>0.4875</v>
      </c>
      <c r="D16" s="10" t="n">
        <v>0.5180555555555556</v>
      </c>
      <c r="E16" s="11" t="n">
        <v>0.5513888888888889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 t="n">
        <v>0.03333333333333333</v>
      </c>
      <c r="H17" s="10">
        <f>IF((F17-$K$3)&gt;$K$4,ABS(F17-$K$3),0)</f>
        <v/>
      </c>
      <c r="I17" s="50" t="inlineStr">
        <is>
          <t>FALTA</t>
        </is>
      </c>
    </row>
    <row r="18">
      <c r="A18" s="9" t="n">
        <v>15</v>
      </c>
      <c r="B18" s="10" t="n">
        <v>0.2923611111111111</v>
      </c>
      <c r="C18" s="10" t="n">
        <v>0.4881944444444444</v>
      </c>
      <c r="D18" s="10" t="n">
        <v>0.5416666666666666</v>
      </c>
      <c r="E18" s="11" t="n">
        <v>0.7847222222222222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0.3131944444444444</v>
      </c>
      <c r="C19" s="10" t="n">
        <v>0.4944444444444445</v>
      </c>
      <c r="D19" s="10" t="n">
        <v>0.5416666666666666</v>
      </c>
      <c r="E19" s="11" t="n">
        <v>0.7875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0.3125</v>
      </c>
      <c r="C20" s="10" t="n">
        <v>0.4881944444444444</v>
      </c>
      <c r="D20" s="10" t="n">
        <v>0.5423611111111111</v>
      </c>
      <c r="E20" s="11" t="n">
        <v>0.8006944444444445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0.3125</v>
      </c>
      <c r="C23" s="10" t="n">
        <v>0.4888888888888889</v>
      </c>
      <c r="D23" s="10" t="n">
        <v>0.5430555555555555</v>
      </c>
      <c r="E23" s="11" t="n">
        <v>0.7833333333333333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0.3125</v>
      </c>
      <c r="C24" s="10" t="n">
        <v>0.4875</v>
      </c>
      <c r="D24" s="10" t="n">
        <v>0.5423611111111111</v>
      </c>
      <c r="E24" s="11" t="n">
        <v>0.7861111111111111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0.3125</v>
      </c>
      <c r="C25" s="10" t="n">
        <v>0.4881944444444444</v>
      </c>
      <c r="D25" s="10" t="n">
        <v>0.5416666666666666</v>
      </c>
      <c r="E25" s="11" t="n">
        <v>0.7888888888888889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0.3125</v>
      </c>
      <c r="C26" s="10" t="n">
        <v>0.4881944444444444</v>
      </c>
      <c r="D26" s="10" t="n">
        <v>0.5416666666666666</v>
      </c>
      <c r="E26" s="11" t="n">
        <v>0.7916666666666666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0.3125</v>
      </c>
      <c r="C27" s="10" t="n">
        <v>0.4923611111111111</v>
      </c>
      <c r="D27" s="10" t="n">
        <v>0.5416666666666666</v>
      </c>
      <c r="E27" s="11" t="n">
        <v>0.7923611111111111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0.3125</v>
      </c>
      <c r="C30" s="10" t="n">
        <v>0.4875</v>
      </c>
      <c r="D30" s="10" t="n">
        <v>0.5423611111111111</v>
      </c>
      <c r="E30" s="11" t="n">
        <v>0.7854166666666667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0.3125</v>
      </c>
      <c r="C31" s="10" t="n">
        <v>0.4888888888888889</v>
      </c>
      <c r="D31" s="10" t="n">
        <v>0.5423611111111111</v>
      </c>
      <c r="E31" s="11" t="n">
        <v>0.7958333333333333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0.2895833333333334</v>
      </c>
      <c r="C32" s="10" t="n">
        <v>0.4868055555555555</v>
      </c>
      <c r="D32" s="10" t="n">
        <v>0.5423611111111111</v>
      </c>
      <c r="E32" s="11" t="n">
        <v>0.8333333333333334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0.2895833333333334</v>
      </c>
      <c r="C33" s="10" t="n">
        <v>0.4875</v>
      </c>
      <c r="D33" s="10" t="n">
        <v>0.54375</v>
      </c>
      <c r="E33" s="11" t="n">
        <v>0.7979166666666667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0.2902777777777778</v>
      </c>
      <c r="C34" s="10" t="n"/>
      <c r="D34" s="10" t="n"/>
      <c r="E34" s="11" t="n">
        <v>0.8048611111111111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1.092361111111111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A19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0.3131944444444444</v>
      </c>
      <c r="C4" s="10" t="n">
        <v>0.4861111111111111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 t="n">
        <v>0.1861111111111111</v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0.4861111111111111</v>
      </c>
      <c r="D5" s="10" t="n">
        <v>0.5208333333333334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61" t="inlineStr">
        <is>
          <t>ATESTADO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0.3145833333333333</v>
      </c>
      <c r="C9" s="10" t="n">
        <v>0.4875</v>
      </c>
      <c r="D9" s="10" t="n">
        <v>0.5416666666666666</v>
      </c>
      <c r="E9" s="11" t="n">
        <v>0.7423611111111111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0.3131944444444444</v>
      </c>
      <c r="C10" s="10" t="n">
        <v>0.4881944444444444</v>
      </c>
      <c r="D10" s="10" t="n">
        <v>0.5416666666666666</v>
      </c>
      <c r="E10" s="11" t="n">
        <v>0.7430555555555556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>
        <v>0.3125</v>
      </c>
      <c r="C11" s="10" t="n">
        <v>0.4875</v>
      </c>
      <c r="D11" s="10" t="n">
        <v>0.5416666666666666</v>
      </c>
      <c r="E11" s="11" t="n">
        <v>0.7423611111111111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0.3125</v>
      </c>
      <c r="C12" s="10" t="n">
        <v>0.4875</v>
      </c>
      <c r="D12" s="10" t="n">
        <v>0.5416666666666666</v>
      </c>
      <c r="E12" s="11" t="n">
        <v>0.7423611111111111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/>
      <c r="C13" s="10" t="n"/>
      <c r="D13" s="10" t="n">
        <v>0.5416666666666666</v>
      </c>
      <c r="E13" s="11" t="n">
        <v>0.7423611111111111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>
        <v>0.5416666666666666</v>
      </c>
      <c r="E16" s="11" t="n">
        <v>0.7423611111111111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0.3173611111111111</v>
      </c>
      <c r="C17" s="10" t="n">
        <v>0.4861111111111111</v>
      </c>
      <c r="D17" s="10" t="n">
        <v>0.5416666666666666</v>
      </c>
      <c r="E17" s="11" t="n">
        <v>0.7423611111111111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>
        <v>0.5444444444444444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0.3180555555555555</v>
      </c>
      <c r="C19" s="10" t="n">
        <v>0.4868055555555555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0.3201388888888889</v>
      </c>
      <c r="C20" s="10" t="n">
        <v>0.4868055555555555</v>
      </c>
      <c r="D20" s="10" t="n">
        <v>0.5416666666666666</v>
      </c>
      <c r="E20" s="11" t="n">
        <v>0.7430555555555556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0.3138888888888889</v>
      </c>
      <c r="C23" s="10" t="n">
        <v>0.4875</v>
      </c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0.3180555555555555</v>
      </c>
      <c r="C24" s="10" t="n">
        <v>0.5208333333333334</v>
      </c>
      <c r="D24" s="10" t="n">
        <v>0.5416666666666666</v>
      </c>
      <c r="E24" s="11" t="n">
        <v>0.7416666666666667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 t="n">
        <v>0.03333333333333333</v>
      </c>
      <c r="H25" s="10">
        <f>IF((F25-$K$3)&gt;$K$4,ABS(F25-$K$3),0)</f>
        <v/>
      </c>
      <c r="I25" s="64" t="inlineStr">
        <is>
          <t>FALTA</t>
        </is>
      </c>
    </row>
    <row r="26">
      <c r="A26" s="9" t="n">
        <v>23</v>
      </c>
      <c r="B26" s="10" t="n">
        <v>0.3131944444444444</v>
      </c>
      <c r="C26" s="10" t="n">
        <v>0.4881944444444444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0.3180555555555555</v>
      </c>
      <c r="C27" s="10" t="n">
        <v>0.4881944444444444</v>
      </c>
      <c r="D27" s="10" t="n">
        <v>0.5208333333333334</v>
      </c>
      <c r="E27" s="11" t="n">
        <v>0.7423611111111111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 t="n">
        <v>0.03333333333333333</v>
      </c>
      <c r="H30" s="10">
        <f>IF((F30-$K$3)&gt;$K$4,ABS(F30-$K$3),0)</f>
        <v/>
      </c>
      <c r="I30" s="64" t="inlineStr">
        <is>
          <t>FALTA</t>
        </is>
      </c>
    </row>
    <row r="31">
      <c r="A31" s="9" t="n">
        <v>28</v>
      </c>
      <c r="B31" s="10" t="n">
        <v>0.3145833333333333</v>
      </c>
      <c r="C31" s="10" t="n">
        <v>0.4868055555555555</v>
      </c>
      <c r="D31" s="10" t="n">
        <v>0.5145833333333333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0.3159722222222222</v>
      </c>
      <c r="C32" s="10" t="n">
        <v>0.4875</v>
      </c>
      <c r="D32" s="10" t="n">
        <v>0.5159722222222223</v>
      </c>
      <c r="E32" s="11" t="n">
        <v>0.7416666666666667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0.3138888888888889</v>
      </c>
      <c r="C33" s="10" t="n">
        <v>0.4881944444444444</v>
      </c>
      <c r="D33" s="10" t="n">
        <v>0.5159722222222223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0.3180555555555555</v>
      </c>
      <c r="C34" s="10" t="n">
        <v>0.4881944444444444</v>
      </c>
      <c r="D34" s="10" t="n">
        <v>0.5208333333333334</v>
      </c>
      <c r="E34" s="11" t="n">
        <v>0.7423611111111111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22" workbookViewId="0">
      <selection activeCell="A22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0.3131944444444444</v>
      </c>
      <c r="C4" s="10" t="n">
        <v>0.5208333333333334</v>
      </c>
      <c r="D4" s="10" t="n">
        <v>0.5416666666666666</v>
      </c>
      <c r="E4" s="11" t="n">
        <v>0.7423611111111111</v>
      </c>
      <c r="F4" s="11">
        <f>IF((C4-B4)+(E4-D4)=0,0,((C4-B4)+(E4-D4))-$K$5)</f>
        <v/>
      </c>
      <c r="G4" s="10" t="n">
        <v>0.1020833333333333</v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0.4875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0.4875</v>
      </c>
      <c r="D6" s="10" t="n">
        <v>0.5416666666666666</v>
      </c>
      <c r="E6" s="11" t="n">
        <v>0.7416666666666667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0.3145833333333333</v>
      </c>
      <c r="C9" s="10" t="n">
        <v>0.4881944444444444</v>
      </c>
      <c r="D9" s="10" t="n">
        <v>0.5416666666666666</v>
      </c>
      <c r="E9" s="11" t="n">
        <v>0.7423611111111111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0.3131944444444444</v>
      </c>
      <c r="C10" s="10" t="n">
        <v>0.4881944444444444</v>
      </c>
      <c r="D10" s="10" t="n">
        <v>0.5416666666666666</v>
      </c>
      <c r="E10" s="11" t="n">
        <v>0.7430555555555556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>
        <v>0.3125</v>
      </c>
      <c r="C11" s="10" t="n">
        <v>0.4909722222222222</v>
      </c>
      <c r="D11" s="10" t="n">
        <v>0.5416666666666666</v>
      </c>
      <c r="E11" s="11" t="n">
        <v>0.7423611111111111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0.7423611111111111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0.3125</v>
      </c>
      <c r="C13" s="10" t="n">
        <v>0.4875</v>
      </c>
      <c r="D13" s="10" t="n">
        <v>0.5416666666666666</v>
      </c>
      <c r="E13" s="11" t="n">
        <v>0.7430555555555556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0.3125</v>
      </c>
      <c r="C16" s="10" t="n">
        <v>0.4881944444444444</v>
      </c>
      <c r="D16" s="10" t="n">
        <v>0.5416666666666666</v>
      </c>
      <c r="E16" s="11" t="n">
        <v>0.7423611111111111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0.3125</v>
      </c>
      <c r="C17" s="10" t="n">
        <v>0.4875</v>
      </c>
      <c r="D17" s="10" t="n">
        <v>0.5416666666666666</v>
      </c>
      <c r="E17" s="11" t="n">
        <v>0.7423611111111111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>
        <v>0.3125</v>
      </c>
      <c r="C18" s="10" t="n">
        <v>0.4875</v>
      </c>
      <c r="D18" s="10" t="n">
        <v>0.5416666666666666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0.3125</v>
      </c>
      <c r="C19" s="10" t="n">
        <v>0.4868055555555555</v>
      </c>
      <c r="D19" s="10" t="n">
        <v>0.5416666666666666</v>
      </c>
      <c r="E19" s="11" t="n">
        <v>0.7423611111111111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0.3125</v>
      </c>
      <c r="C20" s="10" t="n">
        <v>0.4868055555555555</v>
      </c>
      <c r="D20" s="10" t="n">
        <v>0.5416666666666666</v>
      </c>
      <c r="E20" s="11" t="n">
        <v>0.7430555555555556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0.3125</v>
      </c>
      <c r="C23" s="10" t="n">
        <v>0.4875</v>
      </c>
      <c r="D23" s="10" t="n">
        <v>0.5416666666666666</v>
      </c>
      <c r="E23" s="11" t="n">
        <v>0.7423611111111111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0.3131944444444444</v>
      </c>
      <c r="C24" s="10" t="n">
        <v>0.5208333333333334</v>
      </c>
      <c r="D24" s="10" t="n">
        <v>0.5416666666666666</v>
      </c>
      <c r="E24" s="11" t="n">
        <v>0.7416666666666667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0.3125</v>
      </c>
      <c r="C25" s="10" t="n">
        <v>0.5208333333333334</v>
      </c>
      <c r="D25" s="10" t="n">
        <v>0.5416666666666666</v>
      </c>
      <c r="E25" s="11" t="n">
        <v>0.7416666666666667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0.3131944444444444</v>
      </c>
      <c r="C26" s="10" t="n">
        <v>0.4888888888888889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0.3125</v>
      </c>
      <c r="C27" s="10" t="n">
        <v>0.4888888888888889</v>
      </c>
      <c r="D27" s="10" t="n">
        <v>0.5416666666666666</v>
      </c>
      <c r="E27" s="11" t="n">
        <v>0.7423611111111111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0.3125</v>
      </c>
      <c r="C30" s="10" t="n">
        <v>0.4875</v>
      </c>
      <c r="D30" s="10" t="n">
        <v>0.5416666666666666</v>
      </c>
      <c r="E30" s="11" t="n">
        <v>0.7423611111111111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0.3125</v>
      </c>
      <c r="C31" s="10" t="n">
        <v>0.4875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0.3125</v>
      </c>
      <c r="C32" s="10" t="n">
        <v>0.4875</v>
      </c>
      <c r="D32" s="10" t="n">
        <v>0.5416666666666666</v>
      </c>
      <c r="E32" s="11" t="n">
        <v>0.7416666666666667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0.3131944444444444</v>
      </c>
      <c r="C33" s="10" t="n">
        <v>0.4875</v>
      </c>
      <c r="D33" s="10" t="n">
        <v>0.5416666666666666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0.3125</v>
      </c>
      <c r="C34" s="10" t="n">
        <v>0.4895833333333333</v>
      </c>
      <c r="D34" s="10" t="n">
        <v>0.5416666666666666</v>
      </c>
      <c r="E34" s="11" t="n">
        <v>0.5784722222222223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0" workbookViewId="0">
      <selection activeCell="P35" sqref="P35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0.3263888888888889</v>
      </c>
      <c r="C4" s="10" t="n">
        <v>0.6777777777777778</v>
      </c>
      <c r="D4" s="10" t="n">
        <v>0.6951388888888889</v>
      </c>
      <c r="E4" s="11" t="n">
        <v>0.75</v>
      </c>
      <c r="F4" s="11">
        <f>IF((C4-B4)+(E4-D4)=0,0,((C4-B4)+(E4-D4))-$K$5)</f>
        <v/>
      </c>
      <c r="G4" s="10" t="n">
        <v>0.125</v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0.3138888888888889</v>
      </c>
      <c r="C5" s="10" t="n">
        <v>0.6173611111111111</v>
      </c>
      <c r="D5" s="10" t="n">
        <v>0.6743055555555556</v>
      </c>
      <c r="E5" s="11" t="n">
        <v>0.75625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0.3131944444444444</v>
      </c>
      <c r="C6" s="10" t="n">
        <v>0.5881944444444445</v>
      </c>
      <c r="D6" s="10" t="n">
        <v>0.6513888888888889</v>
      </c>
      <c r="E6" s="11" t="n">
        <v>0.74375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0.3118055555555556</v>
      </c>
      <c r="C9" s="10" t="n">
        <v>0.6416666666666667</v>
      </c>
      <c r="D9" s="10" t="n">
        <v>0.6923611111111111</v>
      </c>
      <c r="E9" s="11" t="n">
        <v>0.7666666666666667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0.3229166666666667</v>
      </c>
      <c r="C10" s="10" t="n">
        <v>0.6347222222222222</v>
      </c>
      <c r="D10" s="10" t="n">
        <v>0.6736111111111112</v>
      </c>
      <c r="E10" s="11" t="n">
        <v>0.7625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>
        <v>0.3104166666666667</v>
      </c>
      <c r="C11" s="10" t="n"/>
      <c r="D11" s="10" t="n"/>
      <c r="E11" s="11" t="n">
        <v>0.7756944444444445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0.3104166666666667</v>
      </c>
      <c r="C12" s="10" t="n">
        <v>0.6652777777777777</v>
      </c>
      <c r="D12" s="10" t="n">
        <v>0.6791666666666667</v>
      </c>
      <c r="E12" s="11" t="n">
        <v>0.7576388888888889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0.3118055555555556</v>
      </c>
      <c r="C13" s="10" t="n">
        <v>0.6444444444444445</v>
      </c>
      <c r="D13" s="10" t="n">
        <v>0.68125</v>
      </c>
      <c r="E13" s="11" t="n">
        <v>0.7701388888888889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0.3090277777777778</v>
      </c>
      <c r="C16" s="10" t="n">
        <v>0.5708333333333333</v>
      </c>
      <c r="D16" s="10" t="n">
        <v>0.6326388888888889</v>
      </c>
      <c r="E16" s="11" t="n">
        <v>0.7680555555555556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0.34375</v>
      </c>
      <c r="C17" s="10" t="n">
        <v>0.5902777777777778</v>
      </c>
      <c r="D17" s="10" t="n">
        <v>0.6270833333333333</v>
      </c>
      <c r="E17" s="11" t="n">
        <v>0.7722222222222223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>
        <v>0.3375</v>
      </c>
      <c r="C18" s="10" t="n">
        <v>0.55625</v>
      </c>
      <c r="D18" s="10" t="n">
        <v>0.6111111111111112</v>
      </c>
      <c r="E18" s="11" t="n">
        <v>0.7583333333333333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0.3166666666666667</v>
      </c>
      <c r="C19" s="10" t="n">
        <v>0.6284722222222222</v>
      </c>
      <c r="D19" s="10" t="n">
        <v>0.6833333333333333</v>
      </c>
      <c r="E19" s="11" t="n">
        <v>0.7486111111111111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0.3131944444444444</v>
      </c>
      <c r="C20" s="10" t="n">
        <v>0.6</v>
      </c>
      <c r="D20" s="10" t="n">
        <v>0.65625</v>
      </c>
      <c r="E20" s="11" t="n">
        <v>0.7576388888888889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0.3118055555555556</v>
      </c>
      <c r="C23" s="10" t="n">
        <v>0.6125</v>
      </c>
      <c r="D23" s="10" t="n">
        <v>0.6673611111111111</v>
      </c>
      <c r="E23" s="11" t="n">
        <v>0.76875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0.3131944444444444</v>
      </c>
      <c r="C24" s="10" t="n">
        <v>0.6895833333333333</v>
      </c>
      <c r="D24" s="10" t="n">
        <v>0.7222222222222222</v>
      </c>
      <c r="E24" s="11" t="n">
        <v>0.7506944444444444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0.3131944444444444</v>
      </c>
      <c r="C25" s="10" t="n">
        <v>0.6131944444444445</v>
      </c>
      <c r="D25" s="10" t="n">
        <v>0.6631944444444444</v>
      </c>
      <c r="E25" s="11" t="n">
        <v>0.7631944444444444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0.3131944444444444</v>
      </c>
      <c r="C26" s="10" t="n">
        <v>0.5708333333333333</v>
      </c>
      <c r="D26" s="10" t="n">
        <v>0.6270833333333333</v>
      </c>
      <c r="E26" s="11" t="n">
        <v>0.7666666666666667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0.3118055555555556</v>
      </c>
      <c r="C27" s="10" t="n">
        <v>0.6208333333333333</v>
      </c>
      <c r="D27" s="10" t="n">
        <v>0.6625</v>
      </c>
      <c r="E27" s="11" t="n">
        <v>0.7541666666666667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0.3152777777777778</v>
      </c>
      <c r="C30" s="10" t="n">
        <v>0.5840277777777778</v>
      </c>
      <c r="D30" s="10" t="n">
        <v>0.6423611111111112</v>
      </c>
      <c r="E30" s="11" t="n">
        <v>0.7555555555555555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0.3152777777777778</v>
      </c>
      <c r="C31" s="10" t="n">
        <v>0.65</v>
      </c>
      <c r="D31" s="10" t="n">
        <v>0.6777777777777778</v>
      </c>
      <c r="E31" s="11" t="n">
        <v>0.7583333333333333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0.3215277777777778</v>
      </c>
      <c r="C32" s="10" t="n">
        <v>0.6347222222222222</v>
      </c>
      <c r="D32" s="10" t="n">
        <v>0.7027777777777777</v>
      </c>
      <c r="E32" s="11" t="n">
        <v>0.7729166666666667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0.3201388888888889</v>
      </c>
      <c r="C33" s="10" t="n">
        <v>0.6284722222222222</v>
      </c>
      <c r="D33" s="10" t="n">
        <v>0.6763888888888889</v>
      </c>
      <c r="E33" s="11" t="n">
        <v>0.7583333333333333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0.31875</v>
      </c>
      <c r="C34" s="10" t="n">
        <v>0.66875</v>
      </c>
      <c r="D34" s="10" t="n">
        <v>0.6868055555555556</v>
      </c>
      <c r="E34" s="11" t="n">
        <v>0.7694444444444445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0.4701388888888889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P29" sqref="P29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0.3111111111111111</v>
      </c>
      <c r="C6" s="10" t="n">
        <v>0.4875</v>
      </c>
      <c r="D6" s="10" t="n">
        <v>0.5423611111111111</v>
      </c>
      <c r="E6" s="11" t="n">
        <v>0.7451388888888889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0.3125</v>
      </c>
      <c r="C7" s="10" t="n">
        <v>0.4881944444444444</v>
      </c>
      <c r="D7" s="10" t="n">
        <v>0.5416666666666666</v>
      </c>
      <c r="E7" s="11" t="n">
        <v>0.7486111111111111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>
        <v>0.3125</v>
      </c>
      <c r="C8" s="10" t="n">
        <v>0.5111111111111111</v>
      </c>
      <c r="D8" s="10" t="n">
        <v>0.5638888888888889</v>
      </c>
      <c r="E8" s="11" t="n">
        <v>0.7777777777777778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0.3118055555555556</v>
      </c>
      <c r="C9" s="10" t="n">
        <v>0.4888888888888889</v>
      </c>
      <c r="D9" s="10" t="n">
        <v>0.5416666666666666</v>
      </c>
      <c r="E9" s="11" t="n">
        <v>0.8027777777777778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0.3104166666666667</v>
      </c>
      <c r="C10" s="10" t="n">
        <v>0.4875</v>
      </c>
      <c r="D10" s="10" t="n">
        <v>0.5416666666666666</v>
      </c>
      <c r="E10" s="11" t="n">
        <v>0.8152777777777778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0.3125</v>
      </c>
      <c r="C13" s="10" t="n">
        <v>0.4875</v>
      </c>
      <c r="D13" s="10" t="n">
        <v>0.5416666666666666</v>
      </c>
      <c r="E13" s="11" t="n">
        <v>0.8215277777777777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0.3125</v>
      </c>
      <c r="C14" s="10" t="n">
        <v>0.5076388888888889</v>
      </c>
      <c r="D14" s="10" t="n">
        <v>0.5423611111111111</v>
      </c>
      <c r="E14" s="11" t="n">
        <v>0.7895833333333333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0.3125</v>
      </c>
      <c r="C15" s="10" t="n">
        <v>0.4875</v>
      </c>
      <c r="D15" s="10" t="n">
        <v>0.5423611111111111</v>
      </c>
      <c r="E15" s="11" t="n">
        <v>0.7895833333333333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0.2916666666666667</v>
      </c>
      <c r="C16" s="10" t="n">
        <v>0.4958333333333333</v>
      </c>
      <c r="D16" s="10" t="n">
        <v>0.5416666666666666</v>
      </c>
      <c r="E16" s="11" t="n">
        <v>0.7756944444444445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0.3111111111111111</v>
      </c>
      <c r="C17" s="10" t="n">
        <v>0.5694444444444444</v>
      </c>
      <c r="D17" s="10" t="n">
        <v>0.5833333333333334</v>
      </c>
      <c r="E17" s="11" t="n">
        <v>0.7868055555555555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0.3125</v>
      </c>
      <c r="C20" s="10" t="n">
        <v>0.5006944444444444</v>
      </c>
      <c r="D20" s="10" t="n">
        <v>0.5423611111111111</v>
      </c>
      <c r="E20" s="11" t="n">
        <v>0.7736111111111111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0.3125</v>
      </c>
      <c r="C21" s="10" t="n">
        <v>0.4909722222222222</v>
      </c>
      <c r="D21" s="10" t="n">
        <v>0.5416666666666666</v>
      </c>
      <c r="E21" s="11" t="n">
        <v>0.7541666666666667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>
        <v>0.3125</v>
      </c>
      <c r="C22" s="10" t="n">
        <v>0.5055555555555555</v>
      </c>
      <c r="D22" s="10" t="n">
        <v>0.55625</v>
      </c>
      <c r="E22" s="11" t="n">
        <v>0.7652777777777777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0.3118055555555556</v>
      </c>
      <c r="C23" s="10" t="n">
        <v>0.4868055555555555</v>
      </c>
      <c r="D23" s="10" t="n">
        <v>0.5416666666666666</v>
      </c>
      <c r="E23" s="11" t="n">
        <v>0.76875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0.3125</v>
      </c>
      <c r="C24" s="10" t="n">
        <v>0.4881944444444444</v>
      </c>
      <c r="D24" s="10" t="n">
        <v>0.5423611111111111</v>
      </c>
      <c r="E24" s="11" t="n">
        <v>0.7916666666666666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0.3131944444444444</v>
      </c>
      <c r="C27" s="10" t="n">
        <v>0.4888888888888889</v>
      </c>
      <c r="D27" s="10" t="n">
        <v>0.5416666666666666</v>
      </c>
      <c r="E27" s="11" t="n">
        <v>0.7472222222222222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0.3125</v>
      </c>
      <c r="C28" s="10" t="n">
        <v>0.4868055555555555</v>
      </c>
      <c r="D28" s="10" t="n">
        <v>0.5416666666666666</v>
      </c>
      <c r="E28" s="11" t="n">
        <v>0.7458333333333333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>
        <v>0.3125</v>
      </c>
      <c r="C29" s="10" t="n">
        <v>0.4868055555555555</v>
      </c>
      <c r="D29" s="10" t="n">
        <v>0.5416666666666666</v>
      </c>
      <c r="E29" s="11" t="n">
        <v>0.75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0.3104166666666667</v>
      </c>
      <c r="C31" s="10" t="n">
        <v>0.4888888888888889</v>
      </c>
      <c r="D31" s="10" t="n">
        <v>0.5416666666666666</v>
      </c>
      <c r="E31" s="11" t="n">
        <v>0.75625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0.3125</v>
      </c>
      <c r="C34" s="10" t="n">
        <v>0.4930555555555556</v>
      </c>
      <c r="D34" s="10" t="n">
        <v>0.5416666666666666</v>
      </c>
      <c r="E34" s="11" t="n">
        <v>0.7486111111111111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2.094444444444445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0.3131944444444444</v>
      </c>
      <c r="C6" s="10" t="n">
        <v>0.4868055555555555</v>
      </c>
      <c r="D6" s="10" t="n">
        <v>0.5416666666666666</v>
      </c>
      <c r="E6" s="11" t="n">
        <v>0.7416666666666667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0.3131944444444444</v>
      </c>
      <c r="C7" s="10" t="n">
        <v>0.4861111111111111</v>
      </c>
      <c r="D7" s="10" t="n">
        <v>0.5416666666666666</v>
      </c>
      <c r="E7" s="11" t="n">
        <v>0.7416666666666667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>
        <v>0.3138888888888889</v>
      </c>
      <c r="C8" s="10" t="n">
        <v>0.4875</v>
      </c>
      <c r="D8" s="10" t="n">
        <v>0.5416666666666666</v>
      </c>
      <c r="E8" s="11" t="n">
        <v>0.7423611111111111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0.3131944444444444</v>
      </c>
      <c r="C9" s="10" t="n">
        <v>0.4881944444444444</v>
      </c>
      <c r="D9" s="10" t="n">
        <v>0.5416666666666666</v>
      </c>
      <c r="E9" s="11" t="n">
        <v>0.7430555555555556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50" t="inlineStr">
        <is>
          <t>FALTA</t>
        </is>
      </c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 t="n">
        <v>0.03333333333333333</v>
      </c>
      <c r="H13" s="10">
        <f>IF((F13-$K$3)&gt;$K$4,ABS(F13-$K$3),0)</f>
        <v/>
      </c>
      <c r="I13" s="50" t="inlineStr">
        <is>
          <t>FALTA</t>
        </is>
      </c>
    </row>
    <row r="14">
      <c r="A14" s="9" t="n">
        <v>11</v>
      </c>
      <c r="B14" s="10" t="n">
        <v>0.3145833333333333</v>
      </c>
      <c r="C14" s="10" t="n">
        <v>0.4888888888888889</v>
      </c>
      <c r="D14" s="10" t="n">
        <v>0.5416666666666666</v>
      </c>
      <c r="E14" s="11" t="n">
        <v>0.7423611111111111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0.3131944444444444</v>
      </c>
      <c r="C16" s="10" t="n">
        <v>0.4861111111111111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0.3125</v>
      </c>
      <c r="C17" s="10" t="n">
        <v>0.4861111111111111</v>
      </c>
      <c r="D17" s="10" t="n">
        <v>0.5416666666666666</v>
      </c>
      <c r="E17" s="11" t="n">
        <v>0.7423611111111111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 t="n">
        <v>0.03333333333333333</v>
      </c>
      <c r="H20" s="10">
        <f>IF((F20-$K$3)&gt;$K$4,ABS(F20-$K$3),0)</f>
        <v/>
      </c>
      <c r="I20" s="50" t="inlineStr">
        <is>
          <t>FALTA</t>
        </is>
      </c>
    </row>
    <row r="21">
      <c r="A21" s="9" t="n">
        <v>18</v>
      </c>
      <c r="B21" s="10" t="n">
        <v>0.3145833333333333</v>
      </c>
      <c r="C21" s="10" t="n">
        <v>0.4868055555555555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>
        <v>0.3138888888888889</v>
      </c>
      <c r="C22" s="10" t="n">
        <v>0.4881944444444444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0.3138888888888889</v>
      </c>
      <c r="C24" s="10" t="n">
        <v>0.4861111111111111</v>
      </c>
      <c r="D24" s="10" t="n">
        <v>0.5416666666666666</v>
      </c>
      <c r="E24" s="11" t="n">
        <v>0.7423611111111111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0.3138888888888889</v>
      </c>
      <c r="C27" s="10" t="n">
        <v>0.4895833333333333</v>
      </c>
      <c r="D27" s="10" t="n">
        <v>0.5416666666666666</v>
      </c>
      <c r="E27" s="11" t="n">
        <v>0.7423611111111111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0.3125</v>
      </c>
      <c r="C28" s="10" t="n">
        <v>0.4868055555555555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>
        <v>0.3145833333333333</v>
      </c>
      <c r="C29" s="10" t="n">
        <v>0.4868055555555555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0.3131944444444444</v>
      </c>
      <c r="C30" s="10" t="n">
        <v>0.4875</v>
      </c>
      <c r="D30" s="10" t="n">
        <v>0.5416666666666666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0.3145833333333333</v>
      </c>
      <c r="C31" s="10" t="n">
        <v>0.4875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0.3145833333333333</v>
      </c>
      <c r="C34" s="10" t="n">
        <v>0.4861111111111111</v>
      </c>
      <c r="D34" s="10" t="n">
        <v>0.5416666666666666</v>
      </c>
      <c r="E34" s="11" t="n">
        <v>0.7423611111111111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>
        <f>IF((C4-B4)+(E4-D4)=0,0,((C4-B4)+(E4-D4))-$K$5)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0.3131944444444444</v>
      </c>
      <c r="C6" s="10" t="n">
        <v>0.4875</v>
      </c>
      <c r="D6" s="10" t="n">
        <v>0.5416666666666666</v>
      </c>
      <c r="E6" s="11" t="n">
        <v>0.7423611111111111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0.3131944444444444</v>
      </c>
      <c r="C7" s="10" t="n">
        <v>0.4875</v>
      </c>
      <c r="D7" s="10" t="n">
        <v>0.5416666666666666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>
        <v>0.3138888888888889</v>
      </c>
      <c r="C8" s="10" t="n">
        <v>0.4875</v>
      </c>
      <c r="D8" s="10" t="n">
        <v>0.5416666666666666</v>
      </c>
      <c r="E8" s="11" t="n">
        <v>0.7423611111111111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0.3131944444444444</v>
      </c>
      <c r="C9" s="10" t="n">
        <v>0.4861111111111111</v>
      </c>
      <c r="D9" s="10" t="n">
        <v>0.5416666666666666</v>
      </c>
      <c r="E9" s="11" t="n">
        <v>0.7430555555555556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0.3138888888888889</v>
      </c>
      <c r="C10" s="10" t="n">
        <v>0.4875</v>
      </c>
      <c r="D10" s="10" t="n">
        <v>0.5416666666666666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0.3131944444444444</v>
      </c>
      <c r="C13" s="10" t="n">
        <v>0.4868055555555555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 t="n">
        <v>0.03333333333333333</v>
      </c>
      <c r="H14" s="10">
        <f>IF((F14-$K$3)&gt;$K$4,ABS(F14-$K$3),0)</f>
        <v/>
      </c>
      <c r="I14" s="50" t="inlineStr">
        <is>
          <t>FALTA</t>
        </is>
      </c>
    </row>
    <row r="15">
      <c r="A15" s="9" t="n">
        <v>12</v>
      </c>
      <c r="B15" s="10" t="n">
        <v>0.3125</v>
      </c>
      <c r="C15" s="10" t="n">
        <v>0.4868055555555555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0.3131944444444444</v>
      </c>
      <c r="C16" s="10" t="n">
        <v>0.4861111111111111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0.3125</v>
      </c>
      <c r="C17" s="10" t="n">
        <v>0.4861111111111111</v>
      </c>
      <c r="D17" s="10" t="n">
        <v>0.5416666666666666</v>
      </c>
      <c r="E17" s="11" t="n">
        <v>0.7423611111111111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0.325</v>
      </c>
      <c r="C20" s="10" t="n">
        <v>0.4895833333333333</v>
      </c>
      <c r="D20" s="10" t="n">
        <v>0.5416666666666666</v>
      </c>
      <c r="E20" s="11" t="n">
        <v>0.7416666666666667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0.3145833333333333</v>
      </c>
      <c r="C21" s="10" t="n">
        <v>0.4868055555555555</v>
      </c>
      <c r="D21" s="10" t="n">
        <v>0.5416666666666666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>
        <v>0.3138888888888889</v>
      </c>
      <c r="C22" s="10" t="n">
        <v>0.4875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0.3125</v>
      </c>
      <c r="C23" s="10" t="n">
        <v>0.4868055555555555</v>
      </c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0.3138888888888889</v>
      </c>
      <c r="C24" s="10" t="n">
        <v>0.4861111111111111</v>
      </c>
      <c r="D24" s="10" t="n">
        <v>0.5416666666666666</v>
      </c>
      <c r="E24" s="11" t="n">
        <v>0.7423611111111111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0.3131944444444444</v>
      </c>
      <c r="C27" s="10" t="n">
        <v>0.4895833333333333</v>
      </c>
      <c r="D27" s="10" t="n">
        <v>0.5416666666666666</v>
      </c>
      <c r="E27" s="11" t="n">
        <v>0.7430555555555556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0.3125</v>
      </c>
      <c r="C28" s="10" t="n">
        <v>0.4868055555555555</v>
      </c>
      <c r="D28" s="10" t="n">
        <v>0.5416666666666666</v>
      </c>
      <c r="E28" s="11" t="n">
        <v>0.7423611111111111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>
        <v>0.3145833333333333</v>
      </c>
      <c r="C29" s="10" t="n">
        <v>0.4875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0.3131944444444444</v>
      </c>
      <c r="C30" s="10" t="n">
        <v>0.4868055555555555</v>
      </c>
      <c r="D30" s="10" t="n">
        <v>0.5416666666666666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0.3145833333333333</v>
      </c>
      <c r="C31" s="10" t="n">
        <v>0.4875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0.3125</v>
      </c>
      <c r="C34" s="10" t="n">
        <v>0.4868055555555555</v>
      </c>
      <c r="D34" s="10" t="n">
        <v>0.5416666666666666</v>
      </c>
      <c r="E34" s="11" t="n">
        <v>0.7423611111111111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9" workbookViewId="0">
      <selection activeCell="J28" sqref="J28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>
        <f>IF((C4-B4)+(E4-D4)=0,0,((C4-B4)+(E4-D4))-$K$5)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0.3173611111111111</v>
      </c>
      <c r="C6" s="10" t="n">
        <v>0.6305555555555555</v>
      </c>
      <c r="D6" s="10" t="n">
        <v>0.6673611111111111</v>
      </c>
      <c r="E6" s="11" t="n">
        <v>0.7541666666666667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0.3243055555555556</v>
      </c>
      <c r="C7" s="10" t="n">
        <v>0.6256944444444444</v>
      </c>
      <c r="D7" s="10" t="n">
        <v>0.6777777777777778</v>
      </c>
      <c r="E7" s="11" t="n">
        <v>0.74375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>
        <v>0.3083333333333333</v>
      </c>
      <c r="C8" s="10" t="n">
        <v>0.6381944444444444</v>
      </c>
      <c r="D8" s="10" t="n">
        <v>0.6944444444444444</v>
      </c>
      <c r="E8" s="11" t="n">
        <v>0.75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0.3125</v>
      </c>
      <c r="C9" s="10" t="n">
        <v>0.6298611111111111</v>
      </c>
      <c r="D9" s="10" t="n">
        <v>0.675</v>
      </c>
      <c r="E9" s="11" t="n">
        <v>0.7513888888888889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0.3118055555555556</v>
      </c>
      <c r="C10" s="10" t="n">
        <v>0.5791666666666667</v>
      </c>
      <c r="D10" s="10" t="n">
        <v>0.6465277777777778</v>
      </c>
      <c r="E10" s="11" t="n">
        <v>0.7645833333333333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0.3180555555555555</v>
      </c>
      <c r="C13" s="10" t="n">
        <v>0.6145833333333334</v>
      </c>
      <c r="D13" s="10" t="n">
        <v>0.7069444444444445</v>
      </c>
      <c r="E13" s="11" t="n">
        <v>0.7479166666666667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0.3222222222222222</v>
      </c>
      <c r="C14" s="10" t="n">
        <v>0.6222222222222222</v>
      </c>
      <c r="D14" s="10" t="n">
        <v>0.6715277777777777</v>
      </c>
      <c r="E14" s="11" t="n">
        <v>0.7736111111111111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0.3138888888888889</v>
      </c>
      <c r="C15" s="10" t="n">
        <v>0.5777777777777777</v>
      </c>
      <c r="D15" s="10" t="n">
        <v>0.6361111111111111</v>
      </c>
      <c r="E15" s="11" t="n">
        <v>0.7638888888888888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0.3152777777777778</v>
      </c>
      <c r="C16" s="10" t="n">
        <v>0.6131944444444445</v>
      </c>
      <c r="D16" s="10" t="n">
        <v>0.6618055555555555</v>
      </c>
      <c r="E16" s="11" t="n">
        <v>0.7375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0.3104166666666667</v>
      </c>
      <c r="C17" s="10" t="n">
        <v>0.6048611111111111</v>
      </c>
      <c r="D17" s="10" t="n">
        <v>0.6791666666666667</v>
      </c>
      <c r="E17" s="11" t="n">
        <v>0.7298611111111111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0.3131944444444444</v>
      </c>
      <c r="C20" s="10" t="n">
        <v>0.5909722222222222</v>
      </c>
      <c r="D20" s="10" t="n">
        <v>0.6472222222222223</v>
      </c>
      <c r="E20" s="11" t="n">
        <v>0.7666666666666667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0.3194444444444444</v>
      </c>
      <c r="C21" s="10" t="n">
        <v>0.5965277777777778</v>
      </c>
      <c r="D21" s="10" t="n">
        <v>0.65625</v>
      </c>
      <c r="E21" s="11" t="n">
        <v>0.7631944444444444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>
        <v>0.3131944444444444</v>
      </c>
      <c r="C22" s="10" t="n">
        <v>0.5819444444444445</v>
      </c>
      <c r="D22" s="10" t="n">
        <v>0.6604166666666667</v>
      </c>
      <c r="E22" s="11" t="n">
        <v>0.6944444444444444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0.3125</v>
      </c>
      <c r="C23" s="10" t="n">
        <v>0.6604166666666667</v>
      </c>
      <c r="D23" s="10" t="n">
        <v>0.7027777777777777</v>
      </c>
      <c r="E23" s="11" t="n">
        <v>0.7569444444444444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0.3125</v>
      </c>
      <c r="C24" s="10" t="n">
        <v>0.58125</v>
      </c>
      <c r="D24" s="10" t="n">
        <v>0.6381944444444444</v>
      </c>
      <c r="E24" s="11" t="n">
        <v>0.7534722222222222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0.3111111111111111</v>
      </c>
      <c r="C27" s="10" t="n">
        <v>0.6451388888888889</v>
      </c>
      <c r="D27" s="10" t="n">
        <v>0.6673611111111111</v>
      </c>
      <c r="E27" s="11" t="n">
        <v>0.7638888888888888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0.3194444444444444</v>
      </c>
      <c r="C28" s="10" t="n">
        <v>0.6215277777777778</v>
      </c>
      <c r="D28" s="10" t="n">
        <v>0.6805555555555556</v>
      </c>
      <c r="E28" s="11" t="n">
        <v>0.75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>
        <v>0.3173611111111111</v>
      </c>
      <c r="C29" s="10" t="n">
        <v>0.5777777777777777</v>
      </c>
      <c r="D29" s="10" t="n">
        <v>0.6479166666666667</v>
      </c>
      <c r="E29" s="11" t="n">
        <v>0.7361111111111112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0.3145833333333333</v>
      </c>
      <c r="C30" s="10" t="n">
        <v>0.6402777777777777</v>
      </c>
      <c r="D30" s="10" t="n">
        <v>0.675</v>
      </c>
      <c r="E30" s="11" t="n">
        <v>0.75625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0.3069444444444445</v>
      </c>
      <c r="C31" s="10" t="n">
        <v>0.6319444444444444</v>
      </c>
      <c r="D31" s="10" t="n">
        <v>0.675</v>
      </c>
      <c r="E31" s="11" t="n">
        <v>0.7576388888888889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0.3138888888888889</v>
      </c>
      <c r="C34" s="10" t="n">
        <v>0.6173611111111111</v>
      </c>
      <c r="D34" s="10" t="n">
        <v>0.6902777777777778</v>
      </c>
      <c r="E34" s="11" t="n">
        <v>0.7604166666666666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1.124305555555555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:XFD1048576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>
        <f>IF((C4-B4)+(E4-D4)=0,0,((C4-B4)+(E4-D4))-$K$5)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</v>
      </c>
    </row>
    <row r="6">
      <c r="A6" s="9" t="n">
        <v>3</v>
      </c>
      <c r="B6" s="10" t="n">
        <v>0.3173611111111111</v>
      </c>
      <c r="C6" s="10" t="n">
        <v>0.6305555555555555</v>
      </c>
      <c r="D6" s="10" t="n">
        <v>0.6673611111111111</v>
      </c>
      <c r="E6" s="11" t="n">
        <v>0.7541666666666667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0.3125</v>
      </c>
      <c r="C7" s="10" t="n">
        <v>0.5402777777777777</v>
      </c>
      <c r="D7" s="10" t="n">
        <v>0.6111111111111112</v>
      </c>
      <c r="E7" s="11" t="n">
        <v>0.7423611111111111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>
        <v>0.3125</v>
      </c>
      <c r="C8" s="10" t="n">
        <v>0.5840277777777778</v>
      </c>
      <c r="D8" s="10" t="n">
        <v>0.6388888888888888</v>
      </c>
      <c r="E8" s="11" t="n">
        <v>0.7486111111111111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0.3118055555555556</v>
      </c>
      <c r="C9" s="10" t="n">
        <v>0.5416666666666666</v>
      </c>
      <c r="D9" s="10" t="n">
        <v>0.6166666666666667</v>
      </c>
      <c r="E9" s="11" t="n">
        <v>0.7493055555555556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>
        <v>0.3229166666666667</v>
      </c>
      <c r="C10" s="10" t="n">
        <v>0.5027777777777778</v>
      </c>
      <c r="D10" s="10" t="n">
        <v>0.5673611111111111</v>
      </c>
      <c r="E10" s="11" t="n">
        <v>0.7298611111111111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0.4597222222222222</v>
      </c>
      <c r="C13" s="10" t="n">
        <v>0.5194444444444445</v>
      </c>
      <c r="D13" s="10" t="n">
        <v>0.6006944444444444</v>
      </c>
      <c r="E13" s="11" t="n">
        <v>0.7409722222222223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0.3236111111111111</v>
      </c>
      <c r="C14" s="10" t="n">
        <v>0.5854166666666667</v>
      </c>
      <c r="D14" s="10" t="n">
        <v>0.6458333333333334</v>
      </c>
      <c r="E14" s="11" t="n">
        <v>0.7430555555555556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>
        <v>0.3125</v>
      </c>
      <c r="C15" s="10" t="n">
        <v>0.4861111111111111</v>
      </c>
      <c r="D15" s="10" t="n">
        <v>0.5416666666666666</v>
      </c>
      <c r="E15" s="11" t="n">
        <v>0.7430555555555556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>
        <v>0.3125</v>
      </c>
      <c r="C16" s="10" t="n">
        <v>0.5263888888888889</v>
      </c>
      <c r="D16" s="10" t="n">
        <v>0.5923611111111111</v>
      </c>
      <c r="E16" s="11" t="n">
        <v>0.7430555555555556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 t="n">
        <v>0.03333333333333333</v>
      </c>
      <c r="H17" s="10">
        <f>IF((F17-$K$3)&gt;$K$4,ABS(F17-$K$3),0)</f>
        <v/>
      </c>
      <c r="I17" s="50" t="inlineStr">
        <is>
          <t>FALTA</t>
        </is>
      </c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0.3125</v>
      </c>
      <c r="C20" s="10" t="n">
        <v>0.4944444444444445</v>
      </c>
      <c r="D20" s="10" t="n">
        <v>0.5618055555555556</v>
      </c>
      <c r="E20" s="11" t="n">
        <v>0.7694444444444445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0.3097222222222222</v>
      </c>
      <c r="C21" s="10" t="n">
        <v>0.5680555555555555</v>
      </c>
      <c r="D21" s="10" t="n">
        <v>0.61875</v>
      </c>
      <c r="E21" s="11" t="n">
        <v>0.6993055555555555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>
        <v>0.2916666666666667</v>
      </c>
      <c r="C22" s="10" t="n">
        <v>0.5375</v>
      </c>
      <c r="D22" s="10" t="n">
        <v>0.5958333333333333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>
        <v>0.3138888888888889</v>
      </c>
      <c r="C23" s="10" t="n">
        <v>0.5173611111111112</v>
      </c>
      <c r="D23" s="10" t="n">
        <v>0.5756944444444444</v>
      </c>
      <c r="E23" s="11" t="n">
        <v>0.7291666666666666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0.3180555555555555</v>
      </c>
      <c r="C24" s="10" t="n">
        <v>0.51875</v>
      </c>
      <c r="D24" s="10" t="n">
        <v>0.5666666666666667</v>
      </c>
      <c r="E24" s="11" t="n">
        <v>0.7291666666666666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0.4569444444444444</v>
      </c>
      <c r="C27" s="10" t="n"/>
      <c r="D27" s="10" t="n"/>
      <c r="E27" s="11" t="n">
        <v>0.7381944444444445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0.3173611111111111</v>
      </c>
      <c r="C28" s="10" t="n">
        <v>0.5618055555555556</v>
      </c>
      <c r="D28" s="10" t="n">
        <v>0.6215277777777778</v>
      </c>
      <c r="E28" s="11" t="n">
        <v>0.7416666666666667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>
        <v>0.3625</v>
      </c>
      <c r="C29" s="10" t="n">
        <v>0.58125</v>
      </c>
      <c r="D29" s="10" t="n">
        <v>0.6451388888888889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>
        <v>0.3291666666666667</v>
      </c>
      <c r="C30" s="10" t="n">
        <v>0.6236111111111111</v>
      </c>
      <c r="D30" s="10" t="n">
        <v>0.6847222222222222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0.3138888888888889</v>
      </c>
      <c r="C31" s="10" t="n">
        <v>0.5583333333333333</v>
      </c>
      <c r="D31" s="10" t="n">
        <v>0.6166666666666667</v>
      </c>
      <c r="E31" s="11" t="n">
        <v>0.7652777777777777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>
        <v>0.3208333333333334</v>
      </c>
      <c r="C34" s="10" t="n">
        <v>0.3756944444444444</v>
      </c>
      <c r="D34" s="10" t="n">
        <v>0.6569444444444444</v>
      </c>
      <c r="E34" s="11" t="n">
        <v>0.7152777777777778</v>
      </c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E34" sqref="E3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0.3118055555555556</v>
      </c>
      <c r="C4" s="10" t="n">
        <v>0.5291666666666667</v>
      </c>
      <c r="D4" s="10" t="n">
        <v>0.5659722222222222</v>
      </c>
      <c r="E4" s="11" t="n">
        <v>0.7513888888888889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0.4868055555555555</v>
      </c>
      <c r="D5" s="10" t="n">
        <v>0.5416666666666666</v>
      </c>
      <c r="E5" s="11" t="n">
        <v>0.7618055555555555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0.2986111111111111</v>
      </c>
      <c r="C6" s="10" t="n">
        <v>0.5347222222222222</v>
      </c>
      <c r="D6" s="10" t="n">
        <v>0.5763888888888888</v>
      </c>
      <c r="E6" s="11" t="n">
        <v>0.7715277777777778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0.3125</v>
      </c>
      <c r="C7" s="10" t="n">
        <v>0.5166666666666667</v>
      </c>
      <c r="D7" s="10" t="n">
        <v>0.5451388888888888</v>
      </c>
      <c r="E7" s="11" t="n">
        <v>0.7756944444444445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63" t="n"/>
    </row>
    <row r="11">
      <c r="A11" s="9" t="n">
        <v>8</v>
      </c>
      <c r="B11" s="10" t="n">
        <v>0.3118055555555556</v>
      </c>
      <c r="C11" s="10" t="n">
        <v>0.4868055555555555</v>
      </c>
      <c r="D11" s="10" t="n">
        <v>0.5416666666666666</v>
      </c>
      <c r="E11" s="11" t="n">
        <v>0.7472222222222222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0.3125</v>
      </c>
      <c r="C12" s="10" t="n">
        <v>0.4868055555555555</v>
      </c>
      <c r="D12" s="10" t="n">
        <v>0.5416666666666666</v>
      </c>
      <c r="E12" s="11" t="n">
        <v>0.75625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0.3125</v>
      </c>
      <c r="C13" s="10" t="n">
        <v>0.4868055555555555</v>
      </c>
      <c r="D13" s="10" t="n">
        <v>0.5416666666666666</v>
      </c>
      <c r="E13" s="11" t="n">
        <v>0.7465277777777778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0.3125</v>
      </c>
      <c r="C14" s="10" t="n">
        <v>0.4868055555555555</v>
      </c>
      <c r="D14" s="10" t="n">
        <v>0.5423611111111111</v>
      </c>
      <c r="E14" s="11" t="n">
        <v>0.7527777777777778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0.3125</v>
      </c>
      <c r="C17" s="10" t="n">
        <v>0.4881944444444444</v>
      </c>
      <c r="D17" s="10" t="n">
        <v>0.5416666666666666</v>
      </c>
      <c r="E17" s="11" t="n">
        <v>0.7527777777777778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>
        <v>0.3111111111111111</v>
      </c>
      <c r="C18" s="10" t="n">
        <v>0.4861111111111111</v>
      </c>
      <c r="D18" s="10" t="n">
        <v>0.5416666666666666</v>
      </c>
      <c r="E18" s="11" t="n">
        <v>0.75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0.3118055555555556</v>
      </c>
      <c r="C19" s="10" t="n">
        <v>0.4861111111111111</v>
      </c>
      <c r="D19" s="10" t="n">
        <v>0.5416666666666666</v>
      </c>
      <c r="E19" s="11" t="n">
        <v>0.7548611111111111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0.2895833333333334</v>
      </c>
      <c r="C20" s="10" t="n">
        <v>0.4881944444444444</v>
      </c>
      <c r="D20" s="10" t="n">
        <v>0.5423611111111111</v>
      </c>
      <c r="E20" s="11" t="n">
        <v>0.7756944444444445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0.29375</v>
      </c>
      <c r="C21" s="10" t="n">
        <v>0.4875</v>
      </c>
      <c r="D21" s="10" t="n">
        <v>0.5423611111111111</v>
      </c>
      <c r="E21" s="11" t="n">
        <v>0.7701388888888889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0.3111111111111111</v>
      </c>
      <c r="C24" s="10" t="n">
        <v>0.4888888888888889</v>
      </c>
      <c r="D24" s="10" t="n">
        <v>0.5423611111111111</v>
      </c>
      <c r="E24" s="11" t="n">
        <v>0.75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0.3125</v>
      </c>
      <c r="C25" s="10" t="n">
        <v>0.4881944444444444</v>
      </c>
      <c r="D25" s="10" t="n">
        <v>0.5416666666666666</v>
      </c>
      <c r="E25" s="11" t="n">
        <v>0.7576388888888889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0.3125</v>
      </c>
      <c r="C26" s="10" t="n">
        <v>0.4888888888888889</v>
      </c>
      <c r="D26" s="10" t="n">
        <v>0.5423611111111111</v>
      </c>
      <c r="E26" s="11" t="n">
        <v>0.7534722222222222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0.3125</v>
      </c>
      <c r="C27" s="10" t="n">
        <v>0.4902777777777778</v>
      </c>
      <c r="D27" s="10" t="n">
        <v>0.5423611111111111</v>
      </c>
      <c r="E27" s="11" t="n">
        <v>0.7965277777777777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0.3125</v>
      </c>
      <c r="C28" s="10" t="n">
        <v>0.4868055555555555</v>
      </c>
      <c r="D28" s="10" t="n">
        <v>0.5430555555555555</v>
      </c>
      <c r="E28" s="11" t="n">
        <v>0.7729166666666667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0.3118055555555556</v>
      </c>
      <c r="C31" s="10" t="n">
        <v>0.4861111111111111</v>
      </c>
      <c r="D31" s="10" t="n">
        <v>0.5423611111111111</v>
      </c>
      <c r="E31" s="11" t="n">
        <v>0.7527777777777778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0.3125</v>
      </c>
      <c r="C32" s="10" t="n">
        <v>0.4868055555555555</v>
      </c>
      <c r="D32" s="10" t="n">
        <v>0.5423611111111111</v>
      </c>
      <c r="E32" s="11" t="n">
        <v>0.7534722222222222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0.2895833333333334</v>
      </c>
      <c r="C33" s="10" t="n">
        <v>0.4986111111111111</v>
      </c>
      <c r="D33" s="10" t="n">
        <v>0.5423611111111111</v>
      </c>
      <c r="E33" s="11" t="n">
        <v>0.7743055555555556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2.859722222222222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A13" workbookViewId="0">
      <selection activeCell="E34" sqref="E3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0.3138888888888889</v>
      </c>
      <c r="C4" s="10" t="n">
        <v>0.4868055555555555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0.3194444444444444</v>
      </c>
      <c r="C5" s="10" t="n">
        <v>0.4868055555555555</v>
      </c>
      <c r="D5" s="10" t="n">
        <v>0.5416666666666666</v>
      </c>
      <c r="E5" s="11" t="n">
        <v>0.7444444444444445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0.4881944444444444</v>
      </c>
      <c r="D6" s="10" t="n">
        <v>0.5416666666666666</v>
      </c>
      <c r="E6" s="11" t="n">
        <v>0.7423611111111111</v>
      </c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>
        <v>0.3138888888888889</v>
      </c>
      <c r="C7" s="10" t="n">
        <v>0.4875</v>
      </c>
      <c r="D7" s="10" t="n">
        <v>0.5416666666666666</v>
      </c>
      <c r="E7" s="11" t="n">
        <v>0.7416666666666667</v>
      </c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63" t="n"/>
    </row>
    <row r="11">
      <c r="A11" s="9" t="n">
        <v>8</v>
      </c>
      <c r="B11" s="10" t="n">
        <v>0.3152777777777778</v>
      </c>
      <c r="C11" s="10" t="n">
        <v>0.4861111111111111</v>
      </c>
      <c r="D11" s="10" t="n">
        <v>0.5416666666666666</v>
      </c>
      <c r="E11" s="11" t="n">
        <v>0.7430555555555556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0.31875</v>
      </c>
      <c r="C12" s="10" t="n">
        <v>0.4861111111111111</v>
      </c>
      <c r="D12" s="10" t="n">
        <v>0.5416666666666666</v>
      </c>
      <c r="E12" s="11" t="n">
        <v>0.7423611111111111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0.3145833333333333</v>
      </c>
      <c r="C13" s="10" t="n">
        <v>0.4861111111111111</v>
      </c>
      <c r="D13" s="10" t="n">
        <v>0.5416666666666666</v>
      </c>
      <c r="E13" s="11" t="n">
        <v>0.7416666666666667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0.3145833333333333</v>
      </c>
      <c r="C14" s="10" t="n">
        <v>0.4861111111111111</v>
      </c>
      <c r="D14" s="10" t="n">
        <v>0.5416666666666666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0.3152777777777778</v>
      </c>
      <c r="C17" s="10" t="n">
        <v>0.4868055555555555</v>
      </c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>
        <v>0.3131944444444444</v>
      </c>
      <c r="C18" s="10" t="n">
        <v>0.4861111111111111</v>
      </c>
      <c r="D18" s="10" t="n">
        <v>0.5416666666666666</v>
      </c>
      <c r="E18" s="11" t="n">
        <v>0.7423611111111111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0.3145833333333333</v>
      </c>
      <c r="C19" s="10" t="n">
        <v>0.4861111111111111</v>
      </c>
      <c r="D19" s="10" t="n">
        <v>0.5416666666666666</v>
      </c>
      <c r="E19" s="11" t="n">
        <v>0.7416666666666667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0.3152777777777778</v>
      </c>
      <c r="C20" s="10" t="n">
        <v>0.4881944444444444</v>
      </c>
      <c r="D20" s="10" t="n">
        <v>0.5416666666666666</v>
      </c>
      <c r="E20" s="11" t="n">
        <v>0.7416666666666667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0.3166666666666667</v>
      </c>
      <c r="C21" s="10" t="n">
        <v>0.4861111111111111</v>
      </c>
      <c r="D21" s="10" t="n">
        <v>0.5416666666666666</v>
      </c>
      <c r="E21" s="11" t="n">
        <v>0.7423611111111111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0.3131944444444444</v>
      </c>
      <c r="C24" s="10" t="n">
        <v>0.4868055555555555</v>
      </c>
      <c r="D24" s="10" t="n">
        <v>0.5416666666666666</v>
      </c>
      <c r="E24" s="11" t="n">
        <v>0.7416666666666667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0.3145833333333333</v>
      </c>
      <c r="C25" s="10" t="n">
        <v>0.4881944444444444</v>
      </c>
      <c r="D25" s="10" t="n">
        <v>0.5416666666666666</v>
      </c>
      <c r="E25" s="11" t="n">
        <v>0.7430555555555556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0.3125</v>
      </c>
      <c r="C26" s="10" t="n">
        <v>0.4861111111111111</v>
      </c>
      <c r="D26" s="10" t="n">
        <v>0.5416666666666666</v>
      </c>
      <c r="E26" s="11" t="n">
        <v>0.7423611111111111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0.3125</v>
      </c>
      <c r="C27" s="10" t="n">
        <v>0.4861111111111111</v>
      </c>
      <c r="D27" s="10" t="n">
        <v>0.5416666666666666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0.3131944444444444</v>
      </c>
      <c r="C28" s="10" t="n">
        <v>0.4861111111111111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0.3125</v>
      </c>
      <c r="C31" s="10" t="n">
        <v>0.4868055555555555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0.3131944444444444</v>
      </c>
      <c r="C32" s="10" t="n">
        <v>0.5208333333333334</v>
      </c>
      <c r="D32" s="10" t="n">
        <v>0.5416666666666666</v>
      </c>
      <c r="E32" s="11" t="n">
        <v>0.7423611111111111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0.3125</v>
      </c>
      <c r="C33" s="10" t="n">
        <v>0.4868055555555555</v>
      </c>
      <c r="D33" s="10" t="n">
        <v>0.5291666666666667</v>
      </c>
      <c r="E33" s="11" t="n">
        <v>0.7430555555555556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G4" sqref="G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0.3138888888888889</v>
      </c>
      <c r="C4" s="10" t="n">
        <v>0.4875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>
        <v>0.5416666666666666</v>
      </c>
      <c r="E5" s="11" t="n">
        <v>0.7444444444444445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>
        <v>0.3125</v>
      </c>
      <c r="C6" s="10" t="n">
        <v>0.4861111111111111</v>
      </c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50" t="inlineStr">
        <is>
          <t>FALTA</t>
        </is>
      </c>
      <c r="J7" s="35" t="inlineStr">
        <is>
          <t>ATESTADO</t>
        </is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66" t="n"/>
    </row>
    <row r="11">
      <c r="A11" s="9" t="n">
        <v>8</v>
      </c>
      <c r="B11" s="10" t="n">
        <v>0.3152777777777778</v>
      </c>
      <c r="C11" s="10" t="n">
        <v>0.4868055555555555</v>
      </c>
      <c r="D11" s="10" t="n">
        <v>0.5416666666666666</v>
      </c>
      <c r="E11" s="11" t="n">
        <v>0.7430555555555556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6" t="n"/>
    </row>
    <row r="12">
      <c r="A12" s="9" t="n">
        <v>9</v>
      </c>
      <c r="B12" s="10" t="n">
        <v>0.31875</v>
      </c>
      <c r="C12" s="10" t="n">
        <v>0.4861111111111111</v>
      </c>
      <c r="D12" s="10" t="n">
        <v>0.5416666666666666</v>
      </c>
      <c r="E12" s="11" t="n">
        <v>0.7423611111111111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6" t="n"/>
    </row>
    <row r="13">
      <c r="A13" s="9" t="n">
        <v>10</v>
      </c>
      <c r="B13" s="10" t="n">
        <v>0.3145833333333333</v>
      </c>
      <c r="C13" s="10" t="n">
        <v>0.4861111111111111</v>
      </c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6" t="n"/>
    </row>
    <row r="14">
      <c r="A14" s="9" t="n">
        <v>11</v>
      </c>
      <c r="B14" s="10" t="n">
        <v>0.3145833333333333</v>
      </c>
      <c r="C14" s="10" t="n">
        <v>0.4861111111111111</v>
      </c>
      <c r="D14" s="10" t="n">
        <v>0.5416666666666666</v>
      </c>
      <c r="E14" s="11" t="n">
        <v>0.7416666666666667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6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6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6" t="n"/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 t="n">
        <v>0.03333333333333333</v>
      </c>
      <c r="H17" s="10">
        <f>IF((F17-$K$3)&gt;$K$4,ABS(F17-$K$3),0)</f>
        <v/>
      </c>
      <c r="I17" s="51" t="inlineStr">
        <is>
          <t>FALTA</t>
        </is>
      </c>
    </row>
    <row r="18">
      <c r="A18" s="9" t="n">
        <v>15</v>
      </c>
      <c r="B18" s="10" t="n">
        <v>0.3138888888888889</v>
      </c>
      <c r="C18" s="10" t="n">
        <v>0.4861111111111111</v>
      </c>
      <c r="D18" s="10" t="n">
        <v>0.5416666666666666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6" t="n"/>
    </row>
    <row r="19">
      <c r="A19" s="9" t="n">
        <v>16</v>
      </c>
      <c r="B19" s="10" t="n">
        <v>0.3145833333333333</v>
      </c>
      <c r="C19" s="10" t="n">
        <v>0.4861111111111111</v>
      </c>
      <c r="D19" s="10" t="n">
        <v>0.5423611111111111</v>
      </c>
      <c r="E19" s="11" t="n">
        <v>0.7416666666666667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6" t="n"/>
    </row>
    <row r="20">
      <c r="A20" s="9" t="n">
        <v>17</v>
      </c>
      <c r="B20" s="10" t="n"/>
      <c r="C20" s="10" t="n"/>
      <c r="D20" s="10" t="n">
        <v>0.5416666666666666</v>
      </c>
      <c r="E20" s="11" t="n">
        <v>0.7416666666666667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6" t="n"/>
    </row>
    <row r="21">
      <c r="A21" s="9" t="n">
        <v>18</v>
      </c>
      <c r="B21" s="10" t="n">
        <v>0.3166666666666667</v>
      </c>
      <c r="C21" s="10" t="n">
        <v>0.4861111111111111</v>
      </c>
      <c r="D21" s="10" t="n">
        <v>0.5416666666666666</v>
      </c>
      <c r="E21" s="11" t="n">
        <v>0.7423611111111111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/>
      <c r="C24" s="10" t="n"/>
      <c r="D24" s="10" t="n">
        <v>0.5416666666666666</v>
      </c>
      <c r="E24" s="11" t="n">
        <v>0.7416666666666667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0.3145833333333333</v>
      </c>
      <c r="C25" s="10" t="n">
        <v>0.4868055555555555</v>
      </c>
      <c r="D25" s="10" t="n">
        <v>0.5416666666666666</v>
      </c>
      <c r="E25" s="11" t="n">
        <v>0.7430555555555556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0.3194444444444444</v>
      </c>
      <c r="C26" s="10" t="n">
        <v>0.4861111111111111</v>
      </c>
      <c r="D26" s="10" t="n">
        <v>0.5416666666666666</v>
      </c>
      <c r="E26" s="11" t="n">
        <v>0.7423611111111111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0.3208333333333334</v>
      </c>
      <c r="C27" s="10" t="n">
        <v>0.4861111111111111</v>
      </c>
      <c r="D27" s="10" t="n">
        <v>0.5416666666666666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0.3131944444444444</v>
      </c>
      <c r="C28" s="10" t="n">
        <v>0.4861111111111111</v>
      </c>
      <c r="D28" s="10" t="n">
        <v>0.5416666666666666</v>
      </c>
      <c r="E28" s="11" t="n">
        <v>0.7416666666666667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0.3180555555555555</v>
      </c>
      <c r="C31" s="10" t="n">
        <v>0.4861111111111111</v>
      </c>
      <c r="D31" s="10" t="n">
        <v>0.5416666666666666</v>
      </c>
      <c r="E31" s="11" t="n">
        <v>0.7423611111111111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0.3138888888888889</v>
      </c>
      <c r="C32" s="10" t="n">
        <v>0.4861111111111111</v>
      </c>
      <c r="D32" s="10" t="n">
        <v>0.5416666666666666</v>
      </c>
      <c r="E32" s="11" t="n">
        <v>0.7416666666666667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 t="n">
        <v>0.03333333333333333</v>
      </c>
      <c r="H33" s="10">
        <f>IF((F33-$K$3)&gt;$K$4,ABS(F33-$K$3),0)</f>
        <v/>
      </c>
      <c r="I33" s="50" t="inlineStr">
        <is>
          <t>FALTA</t>
        </is>
      </c>
      <c r="J33" s="35" t="inlineStr">
        <is>
          <t>ATESTADO</t>
        </is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0</v>
      </c>
      <c r="N35" s="67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68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G4" sqref="G4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/>
      <c r="C4" s="10" t="n"/>
      <c r="D4" s="10" t="n"/>
      <c r="E4" s="11" t="n"/>
      <c r="F4" s="11">
        <f>IF((C4-B4)+(E4-D4)=0,0,((C4-B4)+(E4-D4))-$K$5)</f>
        <v/>
      </c>
      <c r="G4" s="10" t="n">
        <v>0.03333333333333333</v>
      </c>
      <c r="H4" s="10">
        <f>IF((F4-$K$3)&gt;$K$4,ABS(F4-$K$3),0)</f>
        <v/>
      </c>
      <c r="I4" s="50" t="inlineStr">
        <is>
          <t>FALTA</t>
        </is>
      </c>
      <c r="J4" s="7" t="inlineStr">
        <is>
          <t>Tolerância</t>
        </is>
      </c>
      <c r="K4" s="13" t="n">
        <v>0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 t="n">
        <v>0.03333333333333333</v>
      </c>
      <c r="H5" s="10">
        <f>IF((F5-$K$3)&gt;$K$4,ABS(F5-$K$3),0)</f>
        <v/>
      </c>
      <c r="I5" s="50" t="inlineStr">
        <is>
          <t>FALTA</t>
        </is>
      </c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50" t="inlineStr">
        <is>
          <t>FALTA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50" t="inlineStr">
        <is>
          <t>FALTA</t>
        </is>
      </c>
      <c r="J7" s="35" t="inlineStr">
        <is>
          <t>ATESTADO</t>
        </is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63" t="n"/>
    </row>
    <row r="11">
      <c r="A11" s="9" t="n">
        <v>8</v>
      </c>
      <c r="B11" s="10" t="n">
        <v>0.3256944444444445</v>
      </c>
      <c r="C11" s="10" t="n">
        <v>0.6847222222222222</v>
      </c>
      <c r="D11" s="10" t="n">
        <v>0.7083333333333334</v>
      </c>
      <c r="E11" s="11" t="n">
        <v>0.7638888888888888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0.3131944444444444</v>
      </c>
      <c r="C12" s="10" t="n">
        <v>0.5777777777777777</v>
      </c>
      <c r="D12" s="10" t="n">
        <v>0.6416666666666667</v>
      </c>
      <c r="E12" s="11" t="n">
        <v>0.7479166666666667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0.3159722222222222</v>
      </c>
      <c r="C13" s="10" t="n">
        <v>0.5965277777777778</v>
      </c>
      <c r="D13" s="10" t="n">
        <v>0.6659722222222222</v>
      </c>
      <c r="E13" s="11" t="n">
        <v>0.7451388888888889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0.3097222222222222</v>
      </c>
      <c r="C14" s="10" t="n">
        <v>0.58125</v>
      </c>
      <c r="D14" s="10" t="n">
        <v>0.64375</v>
      </c>
      <c r="E14" s="11" t="n">
        <v>0.7513888888888889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0.3131944444444444</v>
      </c>
      <c r="C17" s="10" t="n">
        <v>0.5930555555555556</v>
      </c>
      <c r="D17" s="10" t="n">
        <v>0.6527777777777778</v>
      </c>
      <c r="E17" s="11" t="n">
        <v>0.7534722222222222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>
        <v>0.3291666666666667</v>
      </c>
      <c r="C18" s="10" t="n">
        <v>0.5875</v>
      </c>
      <c r="D18" s="10" t="n">
        <v>0.6486111111111111</v>
      </c>
      <c r="E18" s="11" t="n">
        <v>0.7361111111111112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0.3125</v>
      </c>
      <c r="C19" s="10" t="n">
        <v>0.5826388888888889</v>
      </c>
      <c r="D19" s="10" t="n">
        <v>0.6430555555555556</v>
      </c>
      <c r="E19" s="11" t="n">
        <v>0.7555555555555555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0.3125</v>
      </c>
      <c r="C20" s="10" t="n">
        <v>0.5791666666666667</v>
      </c>
      <c r="D20" s="10" t="n">
        <v>0.6493055555555556</v>
      </c>
      <c r="E20" s="11" t="n">
        <v>0.7513888888888889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0.3166666666666667</v>
      </c>
      <c r="C21" s="10" t="n">
        <v>0.6159722222222223</v>
      </c>
      <c r="D21" s="10" t="n">
        <v>0.6798611111111111</v>
      </c>
      <c r="E21" s="11" t="n">
        <v>0.7472222222222222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>
        <v>0.3131944444444444</v>
      </c>
      <c r="C24" s="10" t="n">
        <v>0.6020833333333333</v>
      </c>
      <c r="D24" s="10" t="n">
        <v>0.6402777777777777</v>
      </c>
      <c r="E24" s="11" t="n">
        <v>0.7590277777777777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>
        <v>0.3125</v>
      </c>
      <c r="C25" s="10" t="n">
        <v>0.6097222222222223</v>
      </c>
      <c r="D25" s="10" t="n">
        <v>0.6576388888888889</v>
      </c>
      <c r="E25" s="11" t="n">
        <v>0.7375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>
        <v>0.3152777777777778</v>
      </c>
      <c r="C26" s="10" t="n">
        <v>0.6159722222222223</v>
      </c>
      <c r="D26" s="10" t="n">
        <v>0.6756944444444445</v>
      </c>
      <c r="E26" s="11" t="n">
        <v>0.74375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0.3125</v>
      </c>
      <c r="C27" s="10" t="n">
        <v>0.6125</v>
      </c>
      <c r="D27" s="10" t="n">
        <v>0.6680555555555555</v>
      </c>
      <c r="E27" s="11" t="n">
        <v>0.7548611111111111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0.3159722222222222</v>
      </c>
      <c r="C28" s="10" t="n">
        <v>0.6125</v>
      </c>
      <c r="D28" s="10" t="n">
        <v>0.6833333333333333</v>
      </c>
      <c r="E28" s="11" t="n">
        <v>0.7180555555555556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0.3118055555555556</v>
      </c>
      <c r="C31" s="10" t="n">
        <v>0.5916666666666667</v>
      </c>
      <c r="D31" s="10" t="n">
        <v>0.6520833333333333</v>
      </c>
      <c r="E31" s="11" t="n">
        <v>0.7277777777777777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0.3194444444444444</v>
      </c>
      <c r="C32" s="10" t="n">
        <v>0.6166666666666667</v>
      </c>
      <c r="D32" s="10" t="n">
        <v>0.68125</v>
      </c>
      <c r="E32" s="11" t="n">
        <v>0.7548611111111111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0.3166666666666667</v>
      </c>
      <c r="C33" s="10" t="n">
        <v>0.5958333333333333</v>
      </c>
      <c r="D33" s="10" t="n">
        <v>0.6638888888888889</v>
      </c>
      <c r="E33" s="11" t="n">
        <v>0.7409722222222223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1.415277777777778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2"/>
  <sheetViews>
    <sheetView tabSelected="1" topLeftCell="A10" workbookViewId="0">
      <selection activeCell="G5" sqref="G5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0.3229166666666667</v>
      </c>
      <c r="C4" s="10" t="n">
        <v>0.5208333333333334</v>
      </c>
      <c r="D4" s="10" t="n">
        <v>0.5868055555555556</v>
      </c>
      <c r="E4" s="11" t="n">
        <v>0.7590277777777777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</v>
      </c>
    </row>
    <row r="5">
      <c r="A5" s="9" t="n">
        <v>2</v>
      </c>
      <c r="B5" s="10" t="n">
        <v>0.3166666666666667</v>
      </c>
      <c r="C5" s="10" t="n">
        <v>0.5013888888888889</v>
      </c>
      <c r="D5" s="10" t="n">
        <v>0.5645833333333333</v>
      </c>
      <c r="E5" s="11" t="n">
        <v>0.7604166666666666</v>
      </c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 t="n">
        <v>0.03333333333333333</v>
      </c>
      <c r="H6" s="10">
        <f>IF((F6-$K$3)&gt;$K$4,ABS(F6-$K$3),0)</f>
        <v/>
      </c>
      <c r="I6" s="50" t="inlineStr">
        <is>
          <t>FALTA</t>
        </is>
      </c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 t="n">
        <v>0.03333333333333333</v>
      </c>
      <c r="H7" s="10">
        <f>IF((F7-$K$3)&gt;$K$4,ABS(F7-$K$3),0)</f>
        <v/>
      </c>
      <c r="I7" s="50" t="inlineStr">
        <is>
          <t>FALTA</t>
        </is>
      </c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>
        <v>0.3166666666666667</v>
      </c>
      <c r="C9" s="10" t="n">
        <v>0.5833333333333334</v>
      </c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 t="n">
        <v>0.2666666666666667</v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 t="n">
        <v>0.03333333333333333</v>
      </c>
      <c r="H10" s="10">
        <f>IF((F10-$K$3)&gt;$K$4,ABS(F10-$K$3),0)</f>
        <v/>
      </c>
      <c r="I10" s="61" t="inlineStr">
        <is>
          <t>FERIADO</t>
        </is>
      </c>
    </row>
    <row r="11">
      <c r="A11" s="9" t="n">
        <v>8</v>
      </c>
      <c r="B11" s="10" t="n">
        <v>0.36875</v>
      </c>
      <c r="C11" s="10" t="n">
        <v>0.5215277777777778</v>
      </c>
      <c r="D11" s="10" t="n">
        <v>0.5770833333333333</v>
      </c>
      <c r="E11" s="11" t="n">
        <v>0.7451388888888889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>
        <v>0.3243055555555556</v>
      </c>
      <c r="C12" s="10" t="n">
        <v>0.5986111111111111</v>
      </c>
      <c r="D12" s="10" t="n">
        <v>0.6409722222222223</v>
      </c>
      <c r="E12" s="11" t="n">
        <v>0.7513888888888889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>
        <v>0.3152777777777778</v>
      </c>
      <c r="C13" s="10" t="n">
        <v>0.5416666666666666</v>
      </c>
      <c r="D13" s="10" t="n">
        <v>0.6076388888888888</v>
      </c>
      <c r="E13" s="11" t="n">
        <v>0.7555555555555555</v>
      </c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>
        <v>0.3555555555555556</v>
      </c>
      <c r="C14" s="10" t="n">
        <v>0.6131944444444445</v>
      </c>
      <c r="D14" s="10" t="n">
        <v>0.6625</v>
      </c>
      <c r="E14" s="11" t="n">
        <v>0.7340277777777777</v>
      </c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>
        <v>0.3270833333333333</v>
      </c>
      <c r="C17" s="10" t="n">
        <v>0.5361111111111111</v>
      </c>
      <c r="D17" s="10" t="n">
        <v>0.6076388888888888</v>
      </c>
      <c r="E17" s="11" t="n">
        <v>0.6631944444444444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>
        <v>0.3222222222222222</v>
      </c>
      <c r="C18" s="10" t="n">
        <v>0.53125</v>
      </c>
      <c r="D18" s="10" t="n">
        <v>0.5902777777777778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>
        <v>0.3125</v>
      </c>
      <c r="C19" s="10" t="n">
        <v>0.5326388888888889</v>
      </c>
      <c r="D19" s="10" t="n">
        <v>0.5840277777777778</v>
      </c>
      <c r="E19" s="11" t="n">
        <v>0.7645833333333333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>
        <v>0.3020833333333333</v>
      </c>
      <c r="C20" s="10" t="n">
        <v>0.5576388888888889</v>
      </c>
      <c r="D20" s="10" t="n">
        <v>0.6083333333333333</v>
      </c>
      <c r="E20" s="11" t="n">
        <v>0.7416666666666667</v>
      </c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>
        <v>0.33125</v>
      </c>
      <c r="C21" s="10" t="n">
        <v>0.5493055555555556</v>
      </c>
      <c r="D21" s="10" t="n">
        <v>0.5909722222222222</v>
      </c>
      <c r="E21" s="11" t="n">
        <v>0.7416666666666667</v>
      </c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 t="n">
        <v>0.03333333333333333</v>
      </c>
      <c r="H24" s="10">
        <f>IF((F24-$K$3)&gt;$K$4,ABS(F24-$K$3),0)</f>
        <v/>
      </c>
      <c r="I24" s="50" t="inlineStr">
        <is>
          <t>FALTA</t>
        </is>
      </c>
      <c r="J24" s="35" t="inlineStr">
        <is>
          <t>ATESTADO</t>
        </is>
      </c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 t="n">
        <v>0.03333333333333333</v>
      </c>
      <c r="H25" s="10">
        <f>IF((F25-$K$3)&gt;$K$4,ABS(F25-$K$3),0)</f>
        <v/>
      </c>
      <c r="I25" s="50" t="inlineStr">
        <is>
          <t>FALTA</t>
        </is>
      </c>
      <c r="J25" s="35" t="inlineStr">
        <is>
          <t>ATESTADO</t>
        </is>
      </c>
    </row>
    <row r="26">
      <c r="A26" s="9" t="n">
        <v>23</v>
      </c>
      <c r="B26" s="10" t="n">
        <v>0.3173611111111111</v>
      </c>
      <c r="C26" s="10" t="n">
        <v>0.5041666666666667</v>
      </c>
      <c r="D26" s="10" t="n">
        <v>0.5680555555555555</v>
      </c>
      <c r="E26" s="11" t="n">
        <v>0.7770833333333333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>
        <v>0.30625</v>
      </c>
      <c r="C27" s="10" t="n">
        <v>0.5284722222222222</v>
      </c>
      <c r="D27" s="10" t="n">
        <v>0.5986111111111111</v>
      </c>
      <c r="E27" s="11" t="n">
        <v>0.7416666666666667</v>
      </c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>
        <v>0.30625</v>
      </c>
      <c r="C28" s="10" t="n">
        <v>0.5263888888888889</v>
      </c>
      <c r="D28" s="10" t="n">
        <v>0.6138888888888889</v>
      </c>
      <c r="E28" s="11" t="n">
        <v>0.7618055555555555</v>
      </c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>
        <v>0.4041666666666667</v>
      </c>
      <c r="C31" s="10" t="n">
        <v>0.5833333333333334</v>
      </c>
      <c r="D31" s="10" t="n">
        <v>0.6548611111111111</v>
      </c>
      <c r="E31" s="11" t="n">
        <v>0.7631944444444444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>
        <v>0.3215277777777778</v>
      </c>
      <c r="C32" s="10" t="n">
        <v>0.51875</v>
      </c>
      <c r="D32" s="10" t="n">
        <v>0.58125</v>
      </c>
      <c r="E32" s="11" t="n">
        <v>0.7638888888888888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>
        <v>0.3243055555555556</v>
      </c>
      <c r="C33" s="10" t="n">
        <v>0.5638888888888889</v>
      </c>
      <c r="D33" s="10" t="n">
        <v>0.6298611111111111</v>
      </c>
      <c r="E33" s="11" t="n">
        <v>0.7166666666666667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23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conditionalFormatting sqref="B4:D24 B26:D30">
    <cfRule type="cellIs" priority="8" operator="greaterThan" dxfId="4">
      <formula>0.31875</formula>
    </cfRule>
  </conditionalFormatting>
  <conditionalFormatting sqref="B4:D34">
    <cfRule type="cellIs" priority="6" operator="lessThan" dxfId="6">
      <formula>0.319444444444444</formula>
    </cfRule>
    <cfRule type="cellIs" priority="7" operator="greaterThan" dxfId="4">
      <formula>0.31875</formula>
    </cfRule>
  </conditionalFormatting>
  <conditionalFormatting sqref="E4:F34">
    <cfRule type="cellIs" priority="5" operator="greaterThan" dxfId="4">
      <formula>0.741666666666667</formula>
    </cfRule>
  </conditionalFormatting>
  <conditionalFormatting sqref="G36:H36">
    <cfRule type="expression" priority="3" dxfId="3">
      <formula>$H$35&gt;$G$35</formula>
    </cfRule>
    <cfRule type="expression" priority="4" dxfId="2">
      <formula>$G$35&gt;$H$35</formula>
    </cfRule>
  </conditionalFormatting>
  <conditionalFormatting sqref="O37">
    <cfRule type="expression" priority="1" dxfId="1">
      <formula>$N$35&gt;$L$39</formula>
    </cfRule>
    <cfRule type="expression" priority="2" dxfId="0">
      <formula>$L$39&gt;$N$35</formula>
    </cfRule>
  </conditionalFormatting>
  <pageMargins left="0.511811024" right="0.511811024" top="0.787401575" bottom="0.787401575" header="0.31496062" footer="0.31496062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0.4375</v>
      </c>
      <c r="C4" s="10" t="n">
        <v>0.5173611111111112</v>
      </c>
      <c r="D4" s="10" t="n">
        <v>0.5590277777777778</v>
      </c>
      <c r="E4" s="11" t="n">
        <v>0.7916666666666666</v>
      </c>
      <c r="F4" s="11">
        <f>IF((C4-B4)+(E4-D4)=0,0,((C4-B4)+(E4-D4))-$K$5)</f>
        <v/>
      </c>
      <c r="G4" s="10">
        <f>IF(F4=0,0,IF(($K$3-F4)&gt;$K$4,ABS($K$3-F4),0))</f>
        <v/>
      </c>
      <c r="H4" s="10">
        <f>IF((F4-$K$3)&gt;$K$4,ABS(F4-$K$3),0)</f>
        <v/>
      </c>
      <c r="I4" s="63" t="n"/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/>
      <c r="C5" s="10" t="n"/>
      <c r="D5" s="10" t="n"/>
      <c r="E5" s="11" t="n"/>
      <c r="F5" s="11">
        <f>IF((C5-B5)+(E5-D5)=0,0,((C5-B5)+(E5-D5))-$K$5)</f>
        <v/>
      </c>
      <c r="G5" s="10">
        <f>IF(F5=0,0,IF(($K$3-F5)&gt;$K$4,ABS($K$3-F5),0))</f>
        <v/>
      </c>
      <c r="H5" s="10">
        <f>IF((F5-$K$3)&gt;$K$4,ABS(F5-$K$3),0)</f>
        <v/>
      </c>
      <c r="I5" s="63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63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63" t="n"/>
    </row>
    <row r="8">
      <c r="A8" s="9" t="n">
        <v>5</v>
      </c>
      <c r="B8" s="10" t="n"/>
      <c r="C8" s="10" t="n"/>
      <c r="D8" s="10" t="n"/>
      <c r="E8" s="11" t="n"/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63" t="n"/>
    </row>
    <row r="9">
      <c r="A9" s="9" t="n">
        <v>6</v>
      </c>
      <c r="B9" s="10" t="n"/>
      <c r="C9" s="10" t="n"/>
      <c r="D9" s="10" t="n"/>
      <c r="E9" s="11" t="n"/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63" t="n"/>
    </row>
    <row r="10">
      <c r="A10" s="9" t="n">
        <v>7</v>
      </c>
      <c r="B10" s="10" t="n"/>
      <c r="C10" s="10" t="n"/>
      <c r="D10" s="10" t="n"/>
      <c r="E10" s="11" t="n"/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  <c r="I10" s="63" t="n"/>
    </row>
    <row r="11">
      <c r="A11" s="9" t="n">
        <v>8</v>
      </c>
      <c r="B11" s="10" t="n"/>
      <c r="C11" s="10" t="n"/>
      <c r="D11" s="10" t="n"/>
      <c r="E11" s="11" t="n"/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63" t="n"/>
    </row>
    <row r="12">
      <c r="A12" s="9" t="n">
        <v>9</v>
      </c>
      <c r="B12" s="10" t="n"/>
      <c r="C12" s="10" t="n"/>
      <c r="D12" s="10" t="n"/>
      <c r="E12" s="11" t="n"/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63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63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63" t="n"/>
    </row>
    <row r="15">
      <c r="A15" s="9" t="n">
        <v>12</v>
      </c>
      <c r="B15" s="10" t="n"/>
      <c r="C15" s="10" t="n"/>
      <c r="D15" s="10" t="n"/>
      <c r="E15" s="11" t="n"/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63" t="n"/>
    </row>
    <row r="16">
      <c r="A16" s="9" t="n">
        <v>13</v>
      </c>
      <c r="B16" s="10" t="n"/>
      <c r="C16" s="10" t="n"/>
      <c r="D16" s="10" t="n"/>
      <c r="E16" s="11" t="n"/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63" t="n"/>
    </row>
    <row r="17">
      <c r="A17" s="9" t="n">
        <v>14</v>
      </c>
      <c r="B17" s="10" t="n"/>
      <c r="C17" s="10" t="n"/>
      <c r="D17" s="10" t="n"/>
      <c r="E17" s="11" t="n"/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63" t="n"/>
    </row>
    <row r="18">
      <c r="A18" s="9" t="n">
        <v>15</v>
      </c>
      <c r="B18" s="10" t="n"/>
      <c r="C18" s="10" t="n"/>
      <c r="D18" s="10" t="n"/>
      <c r="E18" s="11" t="n"/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  <c r="I18" s="63" t="n"/>
    </row>
    <row r="19">
      <c r="A19" s="9" t="n">
        <v>16</v>
      </c>
      <c r="B19" s="10" t="n"/>
      <c r="C19" s="10" t="n"/>
      <c r="D19" s="10" t="n"/>
      <c r="E19" s="11" t="n"/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63" t="n"/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63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  <c r="I21" s="63" t="n"/>
    </row>
    <row r="22">
      <c r="A22" s="9" t="n">
        <v>19</v>
      </c>
      <c r="B22" s="10" t="n"/>
      <c r="C22" s="10" t="n"/>
      <c r="D22" s="10" t="n"/>
      <c r="E22" s="11" t="n"/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  <c r="I22" s="63" t="n"/>
    </row>
    <row r="23">
      <c r="A23" s="9" t="n">
        <v>20</v>
      </c>
      <c r="B23" s="10" t="n"/>
      <c r="C23" s="10" t="n"/>
      <c r="D23" s="10" t="n"/>
      <c r="E23" s="11" t="n"/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  <c r="I23" s="63" t="n"/>
    </row>
    <row r="24">
      <c r="A24" s="9" t="n">
        <v>21</v>
      </c>
      <c r="B24" s="10" t="n"/>
      <c r="C24" s="10" t="n"/>
      <c r="D24" s="10" t="n"/>
      <c r="E24" s="11" t="n"/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63" t="n"/>
    </row>
    <row r="25">
      <c r="A25" s="9" t="n">
        <v>22</v>
      </c>
      <c r="B25" s="10" t="n"/>
      <c r="C25" s="10" t="n"/>
      <c r="D25" s="10" t="n"/>
      <c r="E25" s="11" t="n"/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  <c r="I25" s="63" t="n"/>
    </row>
    <row r="26">
      <c r="A26" s="9" t="n">
        <v>23</v>
      </c>
      <c r="B26" s="10" t="n"/>
      <c r="C26" s="10" t="n"/>
      <c r="D26" s="10" t="n"/>
      <c r="E26" s="11" t="n"/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  <c r="I26" s="63" t="n"/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  <c r="I27" s="63" t="n"/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  <c r="I28" s="63" t="n"/>
    </row>
    <row r="29">
      <c r="A29" s="9" t="n">
        <v>26</v>
      </c>
      <c r="B29" s="10" t="n"/>
      <c r="C29" s="10" t="n"/>
      <c r="D29" s="10" t="n"/>
      <c r="E29" s="11" t="n"/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  <c r="I29" s="63" t="n"/>
    </row>
    <row r="30">
      <c r="A30" s="9" t="n">
        <v>27</v>
      </c>
      <c r="B30" s="10" t="n"/>
      <c r="C30" s="10" t="n"/>
      <c r="D30" s="10" t="n"/>
      <c r="E30" s="11" t="n"/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  <c r="I30" s="63" t="n"/>
    </row>
    <row r="31">
      <c r="A31" s="9" t="n">
        <v>28</v>
      </c>
      <c r="B31" s="10" t="n"/>
      <c r="C31" s="10" t="n"/>
      <c r="D31" s="10" t="n"/>
      <c r="E31" s="11" t="n"/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  <c r="I31" s="63" t="n"/>
      <c r="O31" s="59" t="n"/>
    </row>
    <row r="32">
      <c r="A32" s="9" t="n">
        <v>29</v>
      </c>
      <c r="B32" s="10" t="n"/>
      <c r="C32" s="10" t="n"/>
      <c r="D32" s="10" t="n"/>
      <c r="E32" s="11" t="n"/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  <c r="I32" s="63" t="n"/>
      <c r="J32" s="59" t="n"/>
    </row>
    <row r="33" ht="15.75" customHeight="1" s="45" thickBot="1">
      <c r="A33" s="9" t="n">
        <v>30</v>
      </c>
      <c r="B33" s="10" t="n"/>
      <c r="C33" s="10" t="n"/>
      <c r="D33" s="10" t="n"/>
      <c r="E33" s="11" t="n"/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0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60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pageMargins left="0.511811024" right="0.511811024" top="0.787401575" bottom="0.787401575" header="0.31496062" footer="0.31496062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 outlineLevelCol="0"/>
  <cols>
    <col width="11.140625" bestFit="1" customWidth="1" style="45" min="3" max="3"/>
    <col width="11.42578125" customWidth="1" style="45" min="6" max="6"/>
    <col width="9.140625" customWidth="1" style="55" min="9" max="9"/>
    <col width="12.28515625" bestFit="1" customWidth="1" style="45" min="10" max="10"/>
    <col width="12.28515625" bestFit="1" customWidth="1" style="45" min="12" max="12"/>
    <col width="11.5703125" customWidth="1" style="45" min="14" max="14"/>
    <col width="13.28515625" customWidth="1" style="45" min="15" max="15"/>
  </cols>
  <sheetData>
    <row r="1">
      <c r="B1" s="69" t="inlineStr">
        <is>
          <t>Manhã</t>
        </is>
      </c>
      <c r="C1" s="81" t="n"/>
      <c r="D1" s="69" t="inlineStr">
        <is>
          <t>Tarde</t>
        </is>
      </c>
      <c r="E1" s="81" t="n"/>
      <c r="F1" s="55" t="n"/>
    </row>
    <row r="2">
      <c r="A2" s="2" t="inlineStr">
        <is>
          <t>#</t>
        </is>
      </c>
      <c r="B2" s="3" t="inlineStr">
        <is>
          <t>Entrada</t>
        </is>
      </c>
      <c r="C2" s="3" t="inlineStr">
        <is>
          <t>Sáida</t>
        </is>
      </c>
      <c r="D2" s="3" t="inlineStr">
        <is>
          <t>Entrada</t>
        </is>
      </c>
      <c r="E2" s="3" t="inlineStr">
        <is>
          <t>Saída</t>
        </is>
      </c>
      <c r="F2" s="3" t="inlineStr">
        <is>
          <t>H. Trab.</t>
        </is>
      </c>
      <c r="G2" s="3" t="inlineStr">
        <is>
          <t>H. Falta</t>
        </is>
      </c>
      <c r="H2" s="3" t="inlineStr">
        <is>
          <t>H. Extra</t>
        </is>
      </c>
      <c r="J2" s="70" t="inlineStr">
        <is>
          <t>Parametros</t>
        </is>
      </c>
      <c r="K2" s="81" t="n"/>
    </row>
    <row r="3">
      <c r="A3" s="4" t="inlineStr">
        <is>
          <t>dia</t>
        </is>
      </c>
      <c r="B3" s="5" t="n"/>
      <c r="C3" s="5" t="n"/>
      <c r="D3" s="5" t="n"/>
      <c r="E3" s="5" t="n"/>
      <c r="F3" s="5" t="n"/>
      <c r="G3" s="6" t="n"/>
      <c r="H3" s="43" t="n"/>
      <c r="I3" s="55" t="n"/>
      <c r="J3" s="7" t="inlineStr">
        <is>
          <t xml:space="preserve">Entrada + </t>
        </is>
      </c>
      <c r="K3" s="8" t="n">
        <v>0.3666666666666666</v>
      </c>
    </row>
    <row r="4">
      <c r="A4" s="9" t="n">
        <v>1</v>
      </c>
      <c r="B4" s="10" t="n">
        <v>0.3125</v>
      </c>
      <c r="C4" s="10" t="n">
        <v>0.5</v>
      </c>
      <c r="D4" s="10" t="n">
        <v>0.5416666666666666</v>
      </c>
      <c r="E4" s="11" t="n">
        <v>0.7416666666666667</v>
      </c>
      <c r="F4" s="11">
        <f>IF((C4-B4)+(E4-D4)=0,0,((C4-B4)+(E4-D4))-$K$5)</f>
        <v/>
      </c>
      <c r="G4" s="10">
        <f>IF(F4=0,0,IF(($K$3-F4)&gt;$K$4,ABS($K$3-F4),0))</f>
        <v/>
      </c>
      <c r="H4" s="44">
        <f>IF((F4-$K$3)&gt;$K$4,ABS(F4-$K$3),0)</f>
        <v/>
      </c>
      <c r="I4" s="49" t="inlineStr">
        <is>
          <t>FERIADO</t>
        </is>
      </c>
      <c r="J4" s="7" t="inlineStr">
        <is>
          <t>Tolerância</t>
        </is>
      </c>
      <c r="K4" s="13" t="n">
        <v>0.006944444444444444</v>
      </c>
    </row>
    <row r="5">
      <c r="A5" s="9" t="n">
        <v>2</v>
      </c>
      <c r="B5" s="10" t="n">
        <v>0.3125</v>
      </c>
      <c r="C5" s="10" t="n">
        <v>0.5</v>
      </c>
      <c r="D5" s="10" t="n">
        <v>0.5416666666666666</v>
      </c>
      <c r="E5" s="11" t="n">
        <v>0.7416666666666667</v>
      </c>
      <c r="F5" s="11">
        <f>IF((C5-B5)+(E5-D5)=0,0,((C5-B5)+(E5-D5))-$K$5)</f>
        <v/>
      </c>
      <c r="G5" s="10">
        <f>IF(F5=0,0,IF(($K$3-F5)&gt;$K$4,ABS($K$3-F5),0))</f>
        <v/>
      </c>
      <c r="H5" s="44">
        <f>IF((F5-$K$3)&gt;$K$4,ABS(F5-$K$3),0)</f>
        <v/>
      </c>
      <c r="I5" s="55" t="n"/>
      <c r="J5" s="7" t="inlineStr">
        <is>
          <t>Lanche</t>
        </is>
      </c>
      <c r="K5" s="13" t="n">
        <v>0.006944444444444444</v>
      </c>
    </row>
    <row r="6">
      <c r="A6" s="9" t="n">
        <v>3</v>
      </c>
      <c r="B6" s="10" t="n"/>
      <c r="C6" s="10" t="n"/>
      <c r="D6" s="10" t="n"/>
      <c r="E6" s="11" t="n"/>
      <c r="F6" s="11">
        <f>IF((C6-B6)+(E6-D6)=0,0,((C6-B6)+(E6-D6))-$K$5)</f>
        <v/>
      </c>
      <c r="G6" s="10">
        <f>IF(F6=0,0,IF(($K$3-F6)&gt;$K$4,ABS($K$3-F6),0))</f>
        <v/>
      </c>
      <c r="H6" s="10">
        <f>IF((F6-$K$3)&gt;$K$4,ABS(F6-$K$3),0)</f>
        <v/>
      </c>
      <c r="I6" s="55" t="n"/>
    </row>
    <row r="7">
      <c r="A7" s="9" t="n">
        <v>4</v>
      </c>
      <c r="B7" s="10" t="n"/>
      <c r="C7" s="10" t="n"/>
      <c r="D7" s="10" t="n"/>
      <c r="E7" s="11" t="n"/>
      <c r="F7" s="11">
        <f>IF((C7-B7)+(E7-D7)=0,0,((C7-B7)+(E7-D7))-$K$5)</f>
        <v/>
      </c>
      <c r="G7" s="10">
        <f>IF(F7=0,0,IF(($K$3-F7)&gt;$K$4,ABS($K$3-F7),0))</f>
        <v/>
      </c>
      <c r="H7" s="10">
        <f>IF((F7-$K$3)&gt;$K$4,ABS(F7-$K$3),0)</f>
        <v/>
      </c>
      <c r="I7" s="50" t="inlineStr">
        <is>
          <t>FALTA</t>
        </is>
      </c>
    </row>
    <row r="8">
      <c r="A8" s="9" t="n">
        <v>5</v>
      </c>
      <c r="B8" s="10" t="n">
        <v>0.3125</v>
      </c>
      <c r="C8" s="10" t="n">
        <v>0.5</v>
      </c>
      <c r="D8" s="10" t="n">
        <v>0.5416666666666666</v>
      </c>
      <c r="E8" s="11" t="n">
        <v>0.7416666666666667</v>
      </c>
      <c r="F8" s="11">
        <f>IF((C8-B8)+(E8-D8)=0,0,((C8-B8)+(E8-D8))-$K$5)</f>
        <v/>
      </c>
      <c r="G8" s="10">
        <f>IF(F8=0,0,IF(($K$3-F8)&gt;$K$4,ABS($K$3-F8),0))</f>
        <v/>
      </c>
      <c r="H8" s="10">
        <f>IF((F8-$K$3)&gt;$K$4,ABS(F8-$K$3),0)</f>
        <v/>
      </c>
      <c r="I8" s="50" t="inlineStr">
        <is>
          <t>FALTA</t>
        </is>
      </c>
    </row>
    <row r="9">
      <c r="A9" s="9" t="n">
        <v>6</v>
      </c>
      <c r="B9" s="10" t="n">
        <v>0.3125</v>
      </c>
      <c r="C9" s="10" t="n">
        <v>0.5</v>
      </c>
      <c r="D9" s="10" t="n">
        <v>0.5416666666666666</v>
      </c>
      <c r="E9" s="11" t="n">
        <v>0.7416666666666667</v>
      </c>
      <c r="F9" s="11">
        <f>IF((C9-B9)+(E9-D9)=0,0,((C9-B9)+(E9-D9))-$K$5)</f>
        <v/>
      </c>
      <c r="G9" s="10">
        <f>IF(F9=0,0,IF(($K$3-F9)&gt;$K$4,ABS($K$3-F9),0))</f>
        <v/>
      </c>
      <c r="H9" s="10">
        <f>IF((F9-$K$3)&gt;$K$4,ABS(F9-$K$3),0)</f>
        <v/>
      </c>
      <c r="I9" s="55" t="n"/>
    </row>
    <row r="10">
      <c r="A10" s="9" t="n">
        <v>7</v>
      </c>
      <c r="B10" s="10" t="n">
        <v>0.3125</v>
      </c>
      <c r="C10" s="10" t="n">
        <v>0.5</v>
      </c>
      <c r="D10" s="10" t="n">
        <v>0.5416666666666666</v>
      </c>
      <c r="E10" s="11" t="n">
        <v>0.7416666666666667</v>
      </c>
      <c r="F10" s="11">
        <f>IF((C10-B10)+(E10-D10)=0,0,((C10-B10)+(E10-D10))-$K$5)</f>
        <v/>
      </c>
      <c r="G10" s="10">
        <f>IF(F10=0,0,IF(($K$3-F10)&gt;$K$4,ABS($K$3-F10),0))</f>
        <v/>
      </c>
      <c r="H10" s="10">
        <f>IF((F10-$K$3)&gt;$K$4,ABS(F10-$K$3),0)</f>
        <v/>
      </c>
    </row>
    <row r="11">
      <c r="A11" s="9" t="n">
        <v>8</v>
      </c>
      <c r="B11" s="10" t="n">
        <v>0.3125</v>
      </c>
      <c r="C11" s="10" t="n">
        <v>0.5</v>
      </c>
      <c r="D11" s="10" t="n">
        <v>0.5416666666666666</v>
      </c>
      <c r="E11" s="11" t="n">
        <v>0.7416666666666667</v>
      </c>
      <c r="F11" s="11">
        <f>IF((C11-B11)+(E11-D11)=0,0,((C11-B11)+(E11-D11))-$K$5)</f>
        <v/>
      </c>
      <c r="G11" s="10">
        <f>IF(F11=0,0,IF(($K$3-F11)&gt;$K$4,ABS($K$3-F11),0))</f>
        <v/>
      </c>
      <c r="H11" s="10">
        <f>IF((F11-$K$3)&gt;$K$4,ABS(F11-$K$3),0)</f>
        <v/>
      </c>
      <c r="I11" s="55" t="n"/>
    </row>
    <row r="12">
      <c r="A12" s="9" t="n">
        <v>9</v>
      </c>
      <c r="B12" s="10" t="n">
        <v>0.3125</v>
      </c>
      <c r="C12" s="10" t="n">
        <v>0.5</v>
      </c>
      <c r="D12" s="10" t="n">
        <v>0.5416666666666666</v>
      </c>
      <c r="E12" s="11" t="n">
        <v>0.7416666666666667</v>
      </c>
      <c r="F12" s="11">
        <f>IF((C12-B12)+(E12-D12)=0,0,((C12-B12)+(E12-D12))-$K$5)</f>
        <v/>
      </c>
      <c r="G12" s="10">
        <f>IF(F12=0,0,IF(($K$3-F12)&gt;$K$4,ABS($K$3-F12),0))</f>
        <v/>
      </c>
      <c r="H12" s="10">
        <f>IF((F12-$K$3)&gt;$K$4,ABS(F12-$K$3),0)</f>
        <v/>
      </c>
      <c r="I12" s="55" t="n"/>
    </row>
    <row r="13">
      <c r="A13" s="9" t="n">
        <v>10</v>
      </c>
      <c r="B13" s="10" t="n"/>
      <c r="C13" s="10" t="n"/>
      <c r="D13" s="10" t="n"/>
      <c r="E13" s="11" t="n"/>
      <c r="F13" s="11">
        <f>IF((C13-B13)+(E13-D13)=0,0,((C13-B13)+(E13-D13))-$K$5)</f>
        <v/>
      </c>
      <c r="G13" s="10">
        <f>IF(F13=0,0,IF(($K$3-F13)&gt;$K$4,ABS($K$3-F13),0))</f>
        <v/>
      </c>
      <c r="H13" s="10">
        <f>IF((F13-$K$3)&gt;$K$4,ABS(F13-$K$3),0)</f>
        <v/>
      </c>
      <c r="I13" s="55" t="n"/>
    </row>
    <row r="14">
      <c r="A14" s="9" t="n">
        <v>11</v>
      </c>
      <c r="B14" s="10" t="n"/>
      <c r="C14" s="10" t="n"/>
      <c r="D14" s="10" t="n"/>
      <c r="E14" s="11" t="n"/>
      <c r="F14" s="11">
        <f>IF((C14-B14)+(E14-D14)=0,0,((C14-B14)+(E14-D14))-$K$5)</f>
        <v/>
      </c>
      <c r="G14" s="10">
        <f>IF(F14=0,0,IF(($K$3-F14)&gt;$K$4,ABS($K$3-F14),0))</f>
        <v/>
      </c>
      <c r="H14" s="10">
        <f>IF((F14-$K$3)&gt;$K$4,ABS(F14-$K$3),0)</f>
        <v/>
      </c>
      <c r="I14" s="49" t="inlineStr">
        <is>
          <t>FERIADO</t>
        </is>
      </c>
    </row>
    <row r="15">
      <c r="A15" s="9" t="n">
        <v>12</v>
      </c>
      <c r="B15" s="10" t="n">
        <v>0.3125</v>
      </c>
      <c r="C15" s="10" t="n">
        <v>0.5</v>
      </c>
      <c r="D15" s="10" t="n">
        <v>0.5416666666666666</v>
      </c>
      <c r="E15" s="11" t="n">
        <v>0.7416666666666667</v>
      </c>
      <c r="F15" s="11">
        <f>IF((C15-B15)+(E15-D15)=0,0,((C15-B15)+(E15-D15))-$K$5)</f>
        <v/>
      </c>
      <c r="G15" s="10">
        <f>IF(F15=0,0,IF(($K$3-F15)&gt;$K$4,ABS($K$3-F15),0))</f>
        <v/>
      </c>
      <c r="H15" s="10">
        <f>IF((F15-$K$3)&gt;$K$4,ABS(F15-$K$3),0)</f>
        <v/>
      </c>
      <c r="I15" s="50" t="inlineStr">
        <is>
          <t>FALTA</t>
        </is>
      </c>
    </row>
    <row r="16">
      <c r="A16" s="9" t="n">
        <v>13</v>
      </c>
      <c r="B16" s="10" t="n">
        <v>0.3125</v>
      </c>
      <c r="C16" s="10" t="n">
        <v>0.5</v>
      </c>
      <c r="D16" s="10" t="n">
        <v>0.5416666666666666</v>
      </c>
      <c r="E16" s="11" t="n">
        <v>0.7416666666666667</v>
      </c>
      <c r="F16" s="11">
        <f>IF((C16-B16)+(E16-D16)=0,0,((C16-B16)+(E16-D16))-$K$5)</f>
        <v/>
      </c>
      <c r="G16" s="10">
        <f>IF(F16=0,0,IF(($K$3-F16)&gt;$K$4,ABS($K$3-F16),0))</f>
        <v/>
      </c>
      <c r="H16" s="10">
        <f>IF((F16-$K$3)&gt;$K$4,ABS(F16-$K$3),0)</f>
        <v/>
      </c>
      <c r="I16" s="50" t="inlineStr">
        <is>
          <t>FALTA</t>
        </is>
      </c>
    </row>
    <row r="17">
      <c r="A17" s="9" t="n">
        <v>14</v>
      </c>
      <c r="B17" s="10" t="n">
        <v>0.3125</v>
      </c>
      <c r="C17" s="10" t="n">
        <v>0.5</v>
      </c>
      <c r="D17" s="10" t="n">
        <v>0.5416666666666666</v>
      </c>
      <c r="E17" s="11" t="n">
        <v>0.7416666666666667</v>
      </c>
      <c r="F17" s="11">
        <f>IF((C17-B17)+(E17-D17)=0,0,((C17-B17)+(E17-D17))-$K$5)</f>
        <v/>
      </c>
      <c r="G17" s="10">
        <f>IF(F17=0,0,IF(($K$3-F17)&gt;$K$4,ABS($K$3-F17),0))</f>
        <v/>
      </c>
      <c r="H17" s="10">
        <f>IF((F17-$K$3)&gt;$K$4,ABS(F17-$K$3),0)</f>
        <v/>
      </c>
      <c r="I17" s="50" t="inlineStr">
        <is>
          <t>FALTA</t>
        </is>
      </c>
    </row>
    <row r="18">
      <c r="A18" s="9" t="n">
        <v>15</v>
      </c>
      <c r="B18" s="10" t="n">
        <v>0.3125</v>
      </c>
      <c r="C18" s="10" t="n">
        <v>0.5</v>
      </c>
      <c r="D18" s="10" t="n">
        <v>0.5416666666666666</v>
      </c>
      <c r="E18" s="11" t="n">
        <v>0.7416666666666667</v>
      </c>
      <c r="F18" s="11">
        <f>IF((C18-B18)+(E18-D18)=0,0,((C18-B18)+(E18-D18))-$K$5)</f>
        <v/>
      </c>
      <c r="G18" s="10">
        <f>IF(F18=0,0,IF(($K$3-F18)&gt;$K$4,ABS($K$3-F18),0))</f>
        <v/>
      </c>
      <c r="H18" s="10">
        <f>IF((F18-$K$3)&gt;$K$4,ABS(F18-$K$3),0)</f>
        <v/>
      </c>
    </row>
    <row r="19">
      <c r="A19" s="9" t="n">
        <v>16</v>
      </c>
      <c r="B19" s="10" t="n">
        <v>0.3125</v>
      </c>
      <c r="C19" s="10" t="n">
        <v>0.5</v>
      </c>
      <c r="D19" s="10" t="n">
        <v>0.5416666666666666</v>
      </c>
      <c r="E19" s="11" t="n">
        <v>0.7416666666666667</v>
      </c>
      <c r="F19" s="11">
        <f>IF((C19-B19)+(E19-D19)=0,0,((C19-B19)+(E19-D19))-$K$5)</f>
        <v/>
      </c>
      <c r="G19" s="10">
        <f>IF(F19=0,0,IF(($K$3-F19)&gt;$K$4,ABS($K$3-F19),0))</f>
        <v/>
      </c>
      <c r="H19" s="10">
        <f>IF((F19-$K$3)&gt;$K$4,ABS(F19-$K$3),0)</f>
        <v/>
      </c>
      <c r="I19" s="55" t="n"/>
    </row>
    <row r="20">
      <c r="A20" s="9" t="n">
        <v>17</v>
      </c>
      <c r="B20" s="10" t="n"/>
      <c r="C20" s="10" t="n"/>
      <c r="D20" s="10" t="n"/>
      <c r="E20" s="11" t="n"/>
      <c r="F20" s="11">
        <f>IF((C20-B20)+(E20-D20)=0,0,((C20-B20)+(E20-D20))-$K$5)</f>
        <v/>
      </c>
      <c r="G20" s="10">
        <f>IF(F20=0,0,IF(($K$3-F20)&gt;$K$4,ABS($K$3-F20),0))</f>
        <v/>
      </c>
      <c r="H20" s="10">
        <f>IF((F20-$K$3)&gt;$K$4,ABS(F20-$K$3),0)</f>
        <v/>
      </c>
      <c r="I20" s="55" t="n"/>
    </row>
    <row r="21">
      <c r="A21" s="9" t="n">
        <v>18</v>
      </c>
      <c r="B21" s="10" t="n"/>
      <c r="C21" s="10" t="n"/>
      <c r="D21" s="10" t="n"/>
      <c r="E21" s="11" t="n"/>
      <c r="F21" s="11">
        <f>IF((C21-B21)+(E21-D21)=0,0,((C21-B21)+(E21-D21))-$K$5)</f>
        <v/>
      </c>
      <c r="G21" s="10">
        <f>IF(F21=0,0,IF(($K$3-F21)&gt;$K$4,ABS($K$3-F21),0))</f>
        <v/>
      </c>
      <c r="H21" s="10">
        <f>IF((F21-$K$3)&gt;$K$4,ABS(F21-$K$3),0)</f>
        <v/>
      </c>
    </row>
    <row r="22">
      <c r="A22" s="9" t="n">
        <v>19</v>
      </c>
      <c r="B22" s="10" t="n">
        <v>0.3125</v>
      </c>
      <c r="C22" s="10" t="n">
        <v>0.5</v>
      </c>
      <c r="D22" s="10" t="n">
        <v>0.5416666666666666</v>
      </c>
      <c r="E22" s="11" t="n">
        <v>0.7416666666666667</v>
      </c>
      <c r="F22" s="11">
        <f>IF((C22-B22)+(E22-D22)=0,0,((C22-B22)+(E22-D22))-$K$5)</f>
        <v/>
      </c>
      <c r="G22" s="10">
        <f>IF(F22=0,0,IF(($K$3-F22)&gt;$K$4,ABS($K$3-F22),0))</f>
        <v/>
      </c>
      <c r="H22" s="10">
        <f>IF((F22-$K$3)&gt;$K$4,ABS(F22-$K$3),0)</f>
        <v/>
      </c>
    </row>
    <row r="23">
      <c r="A23" s="9" t="n">
        <v>20</v>
      </c>
      <c r="B23" s="10" t="n">
        <v>0.3125</v>
      </c>
      <c r="C23" s="10" t="n">
        <v>0.5</v>
      </c>
      <c r="D23" s="10" t="n">
        <v>0.5416666666666666</v>
      </c>
      <c r="E23" s="11" t="n">
        <v>0.7416666666666667</v>
      </c>
      <c r="F23" s="11">
        <f>IF((C23-B23)+(E23-D23)=0,0,((C23-B23)+(E23-D23))-$K$5)</f>
        <v/>
      </c>
      <c r="G23" s="10">
        <f>IF(F23=0,0,IF(($K$3-F23)&gt;$K$4,ABS($K$3-F23),0))</f>
        <v/>
      </c>
      <c r="H23" s="10">
        <f>IF((F23-$K$3)&gt;$K$4,ABS(F23-$K$3),0)</f>
        <v/>
      </c>
    </row>
    <row r="24">
      <c r="A24" s="9" t="n">
        <v>21</v>
      </c>
      <c r="B24" s="10" t="n">
        <v>0.3125</v>
      </c>
      <c r="C24" s="10" t="n">
        <v>0.5</v>
      </c>
      <c r="D24" s="10" t="n">
        <v>0.5416666666666666</v>
      </c>
      <c r="E24" s="11" t="n">
        <v>0.7416666666666667</v>
      </c>
      <c r="F24" s="11">
        <f>IF((C24-B24)+(E24-D24)=0,0,((C24-B24)+(E24-D24))-$K$5)</f>
        <v/>
      </c>
      <c r="G24" s="10">
        <f>IF(F24=0,0,IF(($K$3-F24)&gt;$K$4,ABS($K$3-F24),0))</f>
        <v/>
      </c>
      <c r="H24" s="10">
        <f>IF((F24-$K$3)&gt;$K$4,ABS(F24-$K$3),0)</f>
        <v/>
      </c>
      <c r="I24" s="55" t="n"/>
    </row>
    <row r="25">
      <c r="A25" s="9" t="n">
        <v>22</v>
      </c>
      <c r="B25" s="10" t="n">
        <v>0.3125</v>
      </c>
      <c r="C25" s="10" t="n">
        <v>0.5</v>
      </c>
      <c r="D25" s="10" t="n">
        <v>0.5416666666666666</v>
      </c>
      <c r="E25" s="11" t="n">
        <v>0.7416666666666667</v>
      </c>
      <c r="F25" s="11">
        <f>IF((C25-B25)+(E25-D25)=0,0,((C25-B25)+(E25-D25))-$K$5)</f>
        <v/>
      </c>
      <c r="G25" s="10">
        <f>IF(F25=0,0,IF(($K$3-F25)&gt;$K$4,ABS($K$3-F25),0))</f>
        <v/>
      </c>
      <c r="H25" s="10">
        <f>IF((F25-$K$3)&gt;$K$4,ABS(F25-$K$3),0)</f>
        <v/>
      </c>
    </row>
    <row r="26">
      <c r="A26" s="9" t="n">
        <v>23</v>
      </c>
      <c r="B26" s="10" t="n">
        <v>0.3125</v>
      </c>
      <c r="C26" s="10" t="n">
        <v>0.5</v>
      </c>
      <c r="D26" s="10" t="n">
        <v>0.5416666666666666</v>
      </c>
      <c r="E26" s="11" t="n">
        <v>0.7416666666666667</v>
      </c>
      <c r="F26" s="11">
        <f>IF((C26-B26)+(E26-D26)=0,0,((C26-B26)+(E26-D26))-$K$5)</f>
        <v/>
      </c>
      <c r="G26" s="10">
        <f>IF(F26=0,0,IF(($K$3-F26)&gt;$K$4,ABS($K$3-F26),0))</f>
        <v/>
      </c>
      <c r="H26" s="10">
        <f>IF((F26-$K$3)&gt;$K$4,ABS(F26-$K$3),0)</f>
        <v/>
      </c>
    </row>
    <row r="27">
      <c r="A27" s="9" t="n">
        <v>24</v>
      </c>
      <c r="B27" s="10" t="n"/>
      <c r="C27" s="10" t="n"/>
      <c r="D27" s="10" t="n"/>
      <c r="E27" s="11" t="n"/>
      <c r="F27" s="11">
        <f>IF((C27-B27)+(E27-D27)=0,0,((C27-B27)+(E27-D27))-$K$5)</f>
        <v/>
      </c>
      <c r="G27" s="10">
        <f>IF(F27=0,0,IF(($K$3-F27)&gt;$K$4,ABS($K$3-F27),0))</f>
        <v/>
      </c>
      <c r="H27" s="10">
        <f>IF((F27-$K$3)&gt;$K$4,ABS(F27-$K$3),0)</f>
        <v/>
      </c>
    </row>
    <row r="28">
      <c r="A28" s="9" t="n">
        <v>25</v>
      </c>
      <c r="B28" s="10" t="n"/>
      <c r="C28" s="10" t="n"/>
      <c r="D28" s="10" t="n"/>
      <c r="E28" s="11" t="n"/>
      <c r="F28" s="11">
        <f>IF((C28-B28)+(E28-D28)=0,0,((C28-B28)+(E28-D28))-$K$5)</f>
        <v/>
      </c>
      <c r="G28" s="10">
        <f>IF(F28=0,0,IF(($K$3-F28)&gt;$K$4,ABS($K$3-F28),0))</f>
        <v/>
      </c>
      <c r="H28" s="10">
        <f>IF((F28-$K$3)&gt;$K$4,ABS(F28-$K$3),0)</f>
        <v/>
      </c>
    </row>
    <row r="29">
      <c r="A29" s="9" t="n">
        <v>26</v>
      </c>
      <c r="B29" s="10" t="n">
        <v>0.3125</v>
      </c>
      <c r="C29" s="10" t="n">
        <v>0.5</v>
      </c>
      <c r="D29" s="10" t="n">
        <v>0.5416666666666666</v>
      </c>
      <c r="E29" s="11" t="n">
        <v>0.7416666666666667</v>
      </c>
      <c r="F29" s="11">
        <f>IF((C29-B29)+(E29-D29)=0,0,((C29-B29)+(E29-D29))-$K$5)</f>
        <v/>
      </c>
      <c r="G29" s="10">
        <f>IF(F29=0,0,IF(($K$3-F29)&gt;$K$4,ABS($K$3-F29),0))</f>
        <v/>
      </c>
      <c r="H29" s="10">
        <f>IF((F29-$K$3)&gt;$K$4,ABS(F29-$K$3),0)</f>
        <v/>
      </c>
    </row>
    <row r="30">
      <c r="A30" s="9" t="n">
        <v>27</v>
      </c>
      <c r="B30" s="10" t="n">
        <v>0.3125</v>
      </c>
      <c r="C30" s="10" t="n">
        <v>0.5</v>
      </c>
      <c r="D30" s="10" t="n">
        <v>0.5416666666666666</v>
      </c>
      <c r="E30" s="11" t="n">
        <v>0.7416666666666667</v>
      </c>
      <c r="F30" s="11">
        <f>IF((C30-B30)+(E30-D30)=0,0,((C30-B30)+(E30-D30))-$K$5)</f>
        <v/>
      </c>
      <c r="G30" s="10">
        <f>IF(F30=0,0,IF(($K$3-F30)&gt;$K$4,ABS($K$3-F30),0))</f>
        <v/>
      </c>
      <c r="H30" s="10">
        <f>IF((F30-$K$3)&gt;$K$4,ABS(F30-$K$3),0)</f>
        <v/>
      </c>
    </row>
    <row r="31">
      <c r="A31" s="9" t="n">
        <v>28</v>
      </c>
      <c r="B31" s="10" t="n">
        <v>0.3125</v>
      </c>
      <c r="C31" s="10" t="n">
        <v>0.5</v>
      </c>
      <c r="D31" s="10" t="n">
        <v>0.5416666666666666</v>
      </c>
      <c r="E31" s="11" t="n">
        <v>0.7416666666666667</v>
      </c>
      <c r="F31" s="11">
        <f>IF((C31-B31)+(E31-D31)=0,0,((C31-B31)+(E31-D31))-$K$5)</f>
        <v/>
      </c>
      <c r="G31" s="10">
        <f>IF(F31=0,0,IF(($K$3-F31)&gt;$K$4,ABS($K$3-F31),0))</f>
        <v/>
      </c>
      <c r="H31" s="10">
        <f>IF((F31-$K$3)&gt;$K$4,ABS(F31-$K$3),0)</f>
        <v/>
      </c>
    </row>
    <row r="32">
      <c r="A32" s="9" t="n">
        <v>29</v>
      </c>
      <c r="B32" s="10" t="n">
        <v>0.3125</v>
      </c>
      <c r="C32" s="10" t="n">
        <v>0.5</v>
      </c>
      <c r="D32" s="10" t="n">
        <v>0.5416666666666666</v>
      </c>
      <c r="E32" s="11" t="n">
        <v>0.7416666666666667</v>
      </c>
      <c r="F32" s="11">
        <f>IF((C32-B32)+(E32-D32)=0,0,((C32-B32)+(E32-D32))-$K$5)</f>
        <v/>
      </c>
      <c r="G32" s="10">
        <f>IF(F32=0,0,IF(($K$3-F32)&gt;$K$4,ABS($K$3-F32),0))</f>
        <v/>
      </c>
      <c r="H32" s="10">
        <f>IF((F32-$K$3)&gt;$K$4,ABS(F32-$K$3),0)</f>
        <v/>
      </c>
    </row>
    <row r="33" ht="15.75" customHeight="1" s="45" thickBot="1">
      <c r="A33" s="9" t="n">
        <v>30</v>
      </c>
      <c r="B33" s="10" t="n">
        <v>0.3125</v>
      </c>
      <c r="C33" s="10" t="n">
        <v>0.5</v>
      </c>
      <c r="D33" s="10" t="n">
        <v>0.5416666666666666</v>
      </c>
      <c r="E33" s="11" t="n">
        <v>0.7416666666666667</v>
      </c>
      <c r="F33" s="11">
        <f>IF((C33-B33)+(E33-D33)=0,0,((C33-B33)+(E33-D33))-$K$5)</f>
        <v/>
      </c>
      <c r="G33" s="10">
        <f>IF(F33=0,0,IF(($K$3-F33)&gt;$K$4,ABS($K$3-F33),0))</f>
        <v/>
      </c>
      <c r="H33" s="10">
        <f>IF((F33-$K$3)&gt;$K$4,ABS(F33-$K$3),0)</f>
        <v/>
      </c>
    </row>
    <row r="34">
      <c r="A34" s="9" t="n">
        <v>31</v>
      </c>
      <c r="B34" s="10" t="n"/>
      <c r="C34" s="10" t="n"/>
      <c r="D34" s="10" t="n"/>
      <c r="E34" s="11" t="n"/>
      <c r="F34" s="11">
        <f>IF((C34-B34)+(E34-D34)=0,0,((C34-B34)+(E34-D34))-$K$5)</f>
        <v/>
      </c>
      <c r="G34" s="10">
        <f>IF(F34=0,0,IF(($K$3-F34)&gt;$K$4,ABS($K$3-F34),0))</f>
        <v/>
      </c>
      <c r="H34" s="10">
        <f>IF((F34-$K$3)&gt;$K$4,ABS(F34-$K$3),0)</f>
        <v/>
      </c>
      <c r="J34" s="14" t="n"/>
      <c r="L34" s="18" t="inlineStr">
        <is>
          <t>Mês passado</t>
        </is>
      </c>
      <c r="M34" s="19" t="n"/>
      <c r="N34" s="20" t="inlineStr">
        <is>
          <t xml:space="preserve">HRS FALTA </t>
        </is>
      </c>
    </row>
    <row r="35">
      <c r="G35" s="21">
        <f>SUM(G4:G34)</f>
        <v/>
      </c>
      <c r="H35" s="22">
        <f>SUM(H4:H34)</f>
        <v/>
      </c>
      <c r="J35" s="34" t="n"/>
      <c r="L35" s="65" t="n">
        <v>0.2201388888888889</v>
      </c>
      <c r="N35" s="38">
        <f>G35</f>
        <v/>
      </c>
    </row>
    <row r="36" ht="15.75" customHeight="1" s="45" thickBot="1">
      <c r="G36" s="75">
        <f>IF(G35&gt;=H35,G35-H35,H35-G35)</f>
        <v/>
      </c>
      <c r="J36" s="34" t="n"/>
      <c r="L36" s="26" t="n"/>
      <c r="N36" s="27" t="n"/>
    </row>
    <row r="37" ht="15.75" customHeight="1" s="45" thickBot="1">
      <c r="J37" s="34" t="n"/>
      <c r="L37" s="28" t="n"/>
      <c r="N37" s="27" t="n"/>
      <c r="O37" s="36">
        <f>IF(L39=0,N35,IF(L39&gt;=N35,L39-N35,N35-L39))</f>
        <v/>
      </c>
    </row>
    <row r="38">
      <c r="L38" s="29" t="inlineStr">
        <is>
          <t>ESSE MÊS</t>
        </is>
      </c>
      <c r="N38" s="30" t="inlineStr">
        <is>
          <t xml:space="preserve">TOTAL </t>
        </is>
      </c>
    </row>
    <row r="39" ht="15.75" customHeight="1" s="45" thickBot="1">
      <c r="L39" s="37">
        <f>H35+L35</f>
        <v/>
      </c>
      <c r="M39" s="32" t="n"/>
      <c r="N39" s="40">
        <f>G35</f>
        <v/>
      </c>
    </row>
    <row r="42">
      <c r="H42" s="34" t="n"/>
      <c r="J42" s="15" t="n"/>
    </row>
  </sheetData>
  <mergeCells count="4">
    <mergeCell ref="B1:C1"/>
    <mergeCell ref="J2:K2"/>
    <mergeCell ref="G36:H36"/>
    <mergeCell ref="D1:E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Faturamento03</dc:creator>
  <dcterms:created xmlns:dcterms="http://purl.org/dc/terms/" xmlns:xsi="http://www.w3.org/2001/XMLSchema-instance" xsi:type="dcterms:W3CDTF">2026-01-15T13:37:05Z</dcterms:created>
  <dcterms:modified xmlns:dcterms="http://purl.org/dc/terms/" xmlns:xsi="http://www.w3.org/2001/XMLSchema-instance" xsi:type="dcterms:W3CDTF">2026-10-09T15:22:01Z</dcterms:modified>
  <cp:lastModifiedBy>Admin</cp:lastModifiedBy>
</cp:coreProperties>
</file>